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filterPrivacy="1" codeName="ThisWorkbook"/>
  <xr:revisionPtr revIDLastSave="0" documentId="13_ncr:1_{75852D60-267E-4677-8F8F-6640EE663CE6}" xr6:coauthVersionLast="45" xr6:coauthVersionMax="45" xr10:uidLastSave="{00000000-0000-0000-0000-000000000000}"/>
  <bookViews>
    <workbookView xWindow="-110" yWindow="-110" windowWidth="19420" windowHeight="11020" tabRatio="836" firstSheet="1" activeTab="6" xr2:uid="{00000000-000D-0000-FFFF-FFFF00000000}"/>
  </bookViews>
  <sheets>
    <sheet name="meta.dat" sheetId="39" state="hidden" r:id="rId1"/>
    <sheet name="trips.des" sheetId="37" r:id="rId2"/>
    <sheet name="weight" sheetId="38" r:id="rId3"/>
    <sheet name="length" sheetId="40" r:id="rId4"/>
    <sheet name="Sheet2" sheetId="44" state="hidden" r:id="rId5"/>
    <sheet name="tidy1" sheetId="41" r:id="rId6"/>
    <sheet name="tidy2" sheetId="42" r:id="rId7"/>
  </sheets>
  <externalReferences>
    <externalReference r:id="rId8"/>
  </externalReferences>
  <definedNames>
    <definedName name="_xlnm._FilterDatabase" localSheetId="3" hidden="1">length!$B$1:$I$2564</definedName>
    <definedName name="_xlnm._FilterDatabase" localSheetId="6" hidden="1">tidy2!$A$3:$C$123</definedName>
    <definedName name="_xlnm._FilterDatabase" localSheetId="2" hidden="1">weight!$B$1:$I$629</definedName>
    <definedName name="Companies">[1]Validation!$B$3:$B$6</definedName>
    <definedName name="Depth">[1]!Table2[Depth]</definedName>
    <definedName name="PhotoID">INDIRECT(#REF!)</definedName>
    <definedName name="Species">'[1]Species Catalogue'!$D$4:$D$62</definedName>
    <definedName name="Spotted_soapfish_Rypticus_maculatus">'[1]Species Catalogue'!#REF!</definedName>
    <definedName name="Spp">INDIRECT([1]SpeciesID!$A$3)</definedName>
    <definedName name="TL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1" i="44" l="1"/>
  <c r="F32" i="44"/>
  <c r="F33" i="44"/>
  <c r="F30" i="44"/>
  <c r="F3" i="44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1441" i="40"/>
  <c r="I1442" i="40"/>
  <c r="I1443" i="40"/>
  <c r="I1444" i="40"/>
  <c r="I1445" i="40"/>
  <c r="I1446" i="40"/>
  <c r="I1447" i="40"/>
  <c r="I1448" i="40"/>
  <c r="I1449" i="40"/>
  <c r="I1450" i="40"/>
  <c r="I1451" i="40"/>
  <c r="I1452" i="40"/>
  <c r="I1453" i="40"/>
  <c r="I1454" i="40"/>
  <c r="I1455" i="40"/>
  <c r="I1456" i="40"/>
  <c r="I1457" i="40"/>
  <c r="I1458" i="40"/>
  <c r="I1459" i="40"/>
  <c r="I1460" i="40"/>
  <c r="I1461" i="40"/>
  <c r="I1462" i="40"/>
  <c r="I1463" i="40"/>
  <c r="I1464" i="40"/>
  <c r="I1465" i="40"/>
  <c r="I1466" i="40"/>
  <c r="I1467" i="40"/>
  <c r="I1468" i="40"/>
  <c r="I1469" i="40"/>
  <c r="I1470" i="40"/>
  <c r="I1471" i="40"/>
  <c r="I1472" i="40"/>
  <c r="I1473" i="40"/>
  <c r="I1474" i="40"/>
  <c r="I1475" i="40"/>
  <c r="I1476" i="40"/>
  <c r="I1477" i="40"/>
  <c r="I1478" i="40"/>
  <c r="I1479" i="40"/>
  <c r="I1480" i="40"/>
  <c r="I1481" i="40"/>
  <c r="I1482" i="40"/>
  <c r="I1483" i="40"/>
  <c r="I1484" i="40"/>
  <c r="I1485" i="40"/>
  <c r="I1486" i="40"/>
  <c r="I1487" i="40"/>
  <c r="I1488" i="40"/>
  <c r="I1489" i="40"/>
  <c r="I1490" i="40"/>
  <c r="I1491" i="40"/>
  <c r="I1492" i="40"/>
  <c r="I1493" i="40"/>
  <c r="I1494" i="40"/>
  <c r="I1495" i="40"/>
  <c r="I1496" i="40"/>
  <c r="I1497" i="40"/>
  <c r="I1498" i="40"/>
  <c r="I1499" i="40"/>
  <c r="I1500" i="40"/>
  <c r="I1501" i="40"/>
  <c r="I1502" i="40"/>
  <c r="I1503" i="40"/>
  <c r="I1504" i="40"/>
  <c r="I1505" i="40"/>
  <c r="I1506" i="40"/>
  <c r="I1507" i="40"/>
  <c r="I1508" i="40"/>
  <c r="I1509" i="40"/>
  <c r="I1510" i="40"/>
  <c r="I1511" i="40"/>
  <c r="I1512" i="40"/>
  <c r="I1513" i="40"/>
  <c r="I1514" i="40"/>
  <c r="I1515" i="40"/>
  <c r="I1516" i="40"/>
  <c r="I1517" i="40"/>
  <c r="I1518" i="40"/>
  <c r="I1519" i="40"/>
  <c r="I1520" i="40"/>
  <c r="I1521" i="40"/>
  <c r="I1522" i="40"/>
  <c r="I1523" i="40"/>
  <c r="I1524" i="40"/>
  <c r="I1525" i="40"/>
  <c r="I1526" i="40"/>
  <c r="I1527" i="40"/>
  <c r="I1528" i="40"/>
  <c r="I1529" i="40"/>
  <c r="I1530" i="40"/>
  <c r="I1531" i="40"/>
  <c r="I1532" i="40"/>
  <c r="I1533" i="40"/>
  <c r="I1534" i="40"/>
  <c r="I1535" i="40"/>
  <c r="I1536" i="40"/>
  <c r="I1537" i="40"/>
  <c r="I1538" i="40"/>
  <c r="I1539" i="40"/>
  <c r="I1540" i="40"/>
  <c r="I1541" i="40"/>
  <c r="I1542" i="40"/>
  <c r="I1543" i="40"/>
  <c r="I1544" i="40"/>
  <c r="I1545" i="40"/>
  <c r="I1546" i="40"/>
  <c r="I1547" i="40"/>
  <c r="I1548" i="40"/>
  <c r="I1549" i="40"/>
  <c r="I1550" i="40"/>
  <c r="I1551" i="40"/>
  <c r="I1552" i="40"/>
  <c r="I1553" i="40"/>
  <c r="I1554" i="40"/>
  <c r="I1555" i="40"/>
  <c r="I1556" i="40"/>
  <c r="I1557" i="40"/>
  <c r="I1558" i="40"/>
  <c r="I1559" i="40"/>
  <c r="I1560" i="40"/>
  <c r="I1561" i="40"/>
  <c r="I1562" i="40"/>
  <c r="I1563" i="40"/>
  <c r="I1564" i="40"/>
  <c r="I1565" i="40"/>
  <c r="I1566" i="40"/>
  <c r="I1567" i="40"/>
  <c r="I1568" i="40"/>
  <c r="I1569" i="40"/>
  <c r="I1570" i="40"/>
  <c r="I1571" i="40"/>
  <c r="I1572" i="40"/>
  <c r="I1573" i="40"/>
  <c r="I1574" i="40"/>
  <c r="I1575" i="40"/>
  <c r="I1576" i="40"/>
  <c r="I1577" i="40"/>
  <c r="I1578" i="40"/>
  <c r="I1579" i="40"/>
  <c r="I1580" i="40"/>
  <c r="I1581" i="40"/>
  <c r="I1582" i="40"/>
  <c r="I1583" i="40"/>
  <c r="I1584" i="40"/>
  <c r="I1585" i="40"/>
  <c r="I1586" i="40"/>
  <c r="I1587" i="40"/>
  <c r="I1588" i="40"/>
  <c r="I1589" i="40"/>
  <c r="I1590" i="40"/>
  <c r="I1591" i="40"/>
  <c r="I1592" i="40"/>
  <c r="I1593" i="40"/>
  <c r="I1594" i="40"/>
  <c r="I1595" i="40"/>
  <c r="I1596" i="40"/>
  <c r="I1597" i="40"/>
  <c r="I1598" i="40"/>
  <c r="I1599" i="40"/>
  <c r="I1600" i="40"/>
  <c r="I1601" i="40"/>
  <c r="I1602" i="40"/>
  <c r="I1603" i="40"/>
  <c r="I1604" i="40"/>
  <c r="I1605" i="40"/>
  <c r="I1606" i="40"/>
  <c r="I1607" i="40"/>
  <c r="I1608" i="40"/>
  <c r="I1609" i="40"/>
  <c r="I1610" i="40"/>
  <c r="I1611" i="40"/>
  <c r="I1612" i="40"/>
  <c r="I1613" i="40"/>
  <c r="I1614" i="40"/>
  <c r="I1615" i="40"/>
  <c r="I1616" i="40"/>
  <c r="I1617" i="40"/>
  <c r="I1618" i="40"/>
  <c r="I1619" i="40"/>
  <c r="I1620" i="40"/>
  <c r="I1621" i="40"/>
  <c r="I1622" i="40"/>
  <c r="I1623" i="40"/>
  <c r="I1624" i="40"/>
  <c r="I1625" i="40"/>
  <c r="I1626" i="40"/>
  <c r="I1627" i="40"/>
  <c r="I1628" i="40"/>
  <c r="I1629" i="40"/>
  <c r="I1630" i="40"/>
  <c r="I1631" i="40"/>
  <c r="I1632" i="40"/>
  <c r="I1633" i="40"/>
  <c r="I1634" i="40"/>
  <c r="I1635" i="40"/>
  <c r="I1636" i="40"/>
  <c r="I1637" i="40"/>
  <c r="I1638" i="40"/>
  <c r="I1639" i="40"/>
  <c r="I1640" i="40"/>
  <c r="I1641" i="40"/>
  <c r="I1642" i="40"/>
  <c r="I1643" i="40"/>
  <c r="I1644" i="40"/>
  <c r="I1645" i="40"/>
  <c r="I1646" i="40"/>
  <c r="I1647" i="40"/>
  <c r="I1648" i="40"/>
  <c r="I1649" i="40"/>
  <c r="I1650" i="40"/>
  <c r="I1651" i="40"/>
  <c r="I1652" i="40"/>
  <c r="I1653" i="40"/>
  <c r="I1654" i="40"/>
  <c r="I1655" i="40"/>
  <c r="I1656" i="40"/>
  <c r="I1657" i="40"/>
  <c r="I1658" i="40"/>
  <c r="I1659" i="40"/>
  <c r="I1660" i="40"/>
  <c r="I1661" i="40"/>
  <c r="I1662" i="40"/>
  <c r="I1663" i="40"/>
  <c r="I1664" i="40"/>
  <c r="I1665" i="40"/>
  <c r="I1666" i="40"/>
  <c r="I1667" i="40"/>
  <c r="I1668" i="40"/>
  <c r="I1669" i="40"/>
  <c r="I1670" i="40"/>
  <c r="I1671" i="40"/>
  <c r="I1672" i="40"/>
  <c r="I1673" i="40"/>
  <c r="I1674" i="40"/>
  <c r="I1675" i="40"/>
  <c r="I1676" i="40"/>
  <c r="I1677" i="40"/>
  <c r="I1678" i="40"/>
  <c r="I1679" i="40"/>
  <c r="I1680" i="40"/>
  <c r="I1681" i="40"/>
  <c r="I1682" i="40"/>
  <c r="I1683" i="40"/>
  <c r="I1684" i="40"/>
  <c r="I1685" i="40"/>
  <c r="I1686" i="40"/>
  <c r="I1687" i="40"/>
  <c r="I1688" i="40"/>
  <c r="I1689" i="40"/>
  <c r="I1690" i="40"/>
  <c r="I1691" i="40"/>
  <c r="I1692" i="40"/>
  <c r="I1693" i="40"/>
  <c r="I1694" i="40"/>
  <c r="I1695" i="40"/>
  <c r="I1696" i="40"/>
  <c r="I1697" i="40"/>
  <c r="I1698" i="40"/>
  <c r="I1699" i="40"/>
  <c r="I1700" i="40"/>
  <c r="I1701" i="40"/>
  <c r="I1702" i="40"/>
  <c r="I1703" i="40"/>
  <c r="I1704" i="40"/>
  <c r="I1705" i="40"/>
  <c r="I1706" i="40"/>
  <c r="I1707" i="40"/>
  <c r="I1708" i="40"/>
  <c r="I1709" i="40"/>
  <c r="I1710" i="40"/>
  <c r="I1711" i="40"/>
  <c r="I1712" i="40"/>
  <c r="I1713" i="40"/>
  <c r="I1714" i="40"/>
  <c r="I1715" i="40"/>
  <c r="I1716" i="40"/>
  <c r="I1717" i="40"/>
  <c r="I1718" i="40"/>
  <c r="I1719" i="40"/>
  <c r="I1720" i="40"/>
  <c r="I1721" i="40"/>
  <c r="I1722" i="40"/>
  <c r="I1723" i="40"/>
  <c r="I1724" i="40"/>
  <c r="I1725" i="40"/>
  <c r="I1726" i="40"/>
  <c r="I1727" i="40"/>
  <c r="I1728" i="40"/>
  <c r="I1729" i="40"/>
  <c r="I1730" i="40"/>
  <c r="I1731" i="40"/>
  <c r="I1732" i="40"/>
  <c r="I1733" i="40"/>
  <c r="I1734" i="40"/>
  <c r="I1735" i="40"/>
  <c r="I1736" i="40"/>
  <c r="I1737" i="40"/>
  <c r="I1738" i="40"/>
  <c r="I1739" i="40"/>
  <c r="I1740" i="40"/>
  <c r="I1741" i="40"/>
  <c r="I1742" i="40"/>
  <c r="I1743" i="40"/>
  <c r="I1744" i="40"/>
  <c r="I1745" i="40"/>
  <c r="I1746" i="40"/>
  <c r="I1747" i="40"/>
  <c r="I1748" i="40"/>
  <c r="I1749" i="40"/>
  <c r="I1750" i="40"/>
  <c r="I1751" i="40"/>
  <c r="I1752" i="40"/>
  <c r="I1753" i="40"/>
  <c r="I1754" i="40"/>
  <c r="I1755" i="40"/>
  <c r="I1756" i="40"/>
  <c r="I1757" i="40"/>
  <c r="I1758" i="40"/>
  <c r="I1759" i="40"/>
  <c r="I1760" i="40"/>
  <c r="I1761" i="40"/>
  <c r="I1762" i="40"/>
  <c r="I1763" i="40"/>
  <c r="I1764" i="40"/>
  <c r="I1765" i="40"/>
  <c r="I1766" i="40"/>
  <c r="I1767" i="40"/>
  <c r="I1768" i="40"/>
  <c r="I1769" i="40"/>
  <c r="I1770" i="40"/>
  <c r="I1771" i="40"/>
  <c r="I1772" i="40"/>
  <c r="I1773" i="40"/>
  <c r="I1774" i="40"/>
  <c r="I1775" i="40"/>
  <c r="I1776" i="40"/>
  <c r="I1777" i="40"/>
  <c r="I1778" i="40"/>
  <c r="I1779" i="40"/>
  <c r="I1780" i="40"/>
  <c r="I1781" i="40"/>
  <c r="I1782" i="40"/>
  <c r="I1783" i="40"/>
  <c r="I1784" i="40"/>
  <c r="I1785" i="40"/>
  <c r="I1786" i="40"/>
  <c r="I1787" i="40"/>
  <c r="I1788" i="40"/>
  <c r="I1789" i="40"/>
  <c r="I1790" i="40"/>
  <c r="I1791" i="40"/>
  <c r="I1792" i="40"/>
  <c r="I1793" i="40"/>
  <c r="I1794" i="40"/>
  <c r="I1795" i="40"/>
  <c r="I1796" i="40"/>
  <c r="I1797" i="40"/>
  <c r="I1798" i="40"/>
  <c r="I1799" i="40"/>
  <c r="I1800" i="40"/>
  <c r="I1801" i="40"/>
  <c r="I1802" i="40"/>
  <c r="I1803" i="40"/>
  <c r="I1804" i="40"/>
  <c r="I1805" i="40"/>
  <c r="I1806" i="40"/>
  <c r="I1807" i="40"/>
  <c r="I1808" i="40"/>
  <c r="I1809" i="40"/>
  <c r="I1810" i="40"/>
  <c r="I1811" i="40"/>
  <c r="I1812" i="40"/>
  <c r="I1813" i="40"/>
  <c r="I1814" i="40"/>
  <c r="I1815" i="40"/>
  <c r="I1816" i="40"/>
  <c r="I1817" i="40"/>
  <c r="I1818" i="40"/>
  <c r="I1819" i="40"/>
  <c r="I1820" i="40"/>
  <c r="I1821" i="40"/>
  <c r="I1822" i="40"/>
  <c r="I1823" i="40"/>
  <c r="I1824" i="40"/>
  <c r="I1825" i="40"/>
  <c r="I1826" i="40"/>
  <c r="I1827" i="40"/>
  <c r="I1828" i="40"/>
  <c r="I1829" i="40"/>
  <c r="I1830" i="40"/>
  <c r="I1831" i="40"/>
  <c r="I1832" i="40"/>
  <c r="I1833" i="40"/>
  <c r="I1834" i="40"/>
  <c r="I1835" i="40"/>
  <c r="I1836" i="40"/>
  <c r="I1837" i="40"/>
  <c r="I1838" i="40"/>
  <c r="I1839" i="40"/>
  <c r="I1840" i="40"/>
  <c r="I1841" i="40"/>
  <c r="I1842" i="40"/>
  <c r="I1843" i="40"/>
  <c r="I1844" i="40"/>
  <c r="I1845" i="40"/>
  <c r="I1846" i="40"/>
  <c r="I1847" i="40"/>
  <c r="I1848" i="40"/>
  <c r="I1849" i="40"/>
  <c r="I1850" i="40"/>
  <c r="I1851" i="40"/>
  <c r="I1852" i="40"/>
  <c r="I1853" i="40"/>
  <c r="I1854" i="40"/>
  <c r="I1855" i="40"/>
  <c r="I1856" i="40"/>
  <c r="I1857" i="40"/>
  <c r="I1858" i="40"/>
  <c r="I1859" i="40"/>
  <c r="I1860" i="40"/>
  <c r="I1861" i="40"/>
  <c r="I1862" i="40"/>
  <c r="I1863" i="40"/>
  <c r="I1864" i="40"/>
  <c r="I1865" i="40"/>
  <c r="I1866" i="40"/>
  <c r="I1867" i="40"/>
  <c r="I1868" i="40"/>
  <c r="I1869" i="40"/>
  <c r="I1870" i="40"/>
  <c r="I1871" i="40"/>
  <c r="I1872" i="40"/>
  <c r="I1873" i="40"/>
  <c r="I1874" i="40"/>
  <c r="I1875" i="40"/>
  <c r="I1876" i="40"/>
  <c r="I1877" i="40"/>
  <c r="I1878" i="40"/>
  <c r="I1879" i="40"/>
  <c r="I1880" i="40"/>
  <c r="I1881" i="40"/>
  <c r="I1882" i="40"/>
  <c r="I1883" i="40"/>
  <c r="I1884" i="40"/>
  <c r="I1885" i="40"/>
  <c r="I1886" i="40"/>
  <c r="I1887" i="40"/>
  <c r="I1888" i="40"/>
  <c r="I1889" i="40"/>
  <c r="I1890" i="40"/>
  <c r="I1891" i="40"/>
  <c r="I1892" i="40"/>
  <c r="I1893" i="40"/>
  <c r="I1894" i="40"/>
  <c r="I1895" i="40"/>
  <c r="I1896" i="40"/>
  <c r="I1897" i="40"/>
  <c r="I1898" i="40"/>
  <c r="I1899" i="40"/>
  <c r="I1900" i="40"/>
  <c r="I1901" i="40"/>
  <c r="I1902" i="40"/>
  <c r="I1903" i="40"/>
  <c r="I1904" i="40"/>
  <c r="I1905" i="40"/>
  <c r="I1906" i="40"/>
  <c r="I1907" i="40"/>
  <c r="I1908" i="40"/>
  <c r="I1909" i="40"/>
  <c r="I1910" i="40"/>
  <c r="I1911" i="40"/>
  <c r="I1912" i="40"/>
  <c r="I1913" i="40"/>
  <c r="I1914" i="40"/>
  <c r="I1915" i="40"/>
  <c r="I1916" i="40"/>
  <c r="I1917" i="40"/>
  <c r="I1918" i="40"/>
  <c r="I1919" i="40"/>
  <c r="I1920" i="40"/>
  <c r="I1921" i="40"/>
  <c r="I1922" i="40"/>
  <c r="I1923" i="40"/>
  <c r="I1924" i="40"/>
  <c r="I1925" i="40"/>
  <c r="I1926" i="40"/>
  <c r="I1927" i="40"/>
  <c r="I1928" i="40"/>
  <c r="I1929" i="40"/>
  <c r="I1930" i="40"/>
  <c r="I1931" i="40"/>
  <c r="I1932" i="40"/>
  <c r="I1933" i="40"/>
  <c r="I1934" i="40"/>
  <c r="I1935" i="40"/>
  <c r="I1936" i="40"/>
  <c r="I1937" i="40"/>
  <c r="I1938" i="40"/>
  <c r="I1939" i="40"/>
  <c r="I1940" i="40"/>
  <c r="I1941" i="40"/>
  <c r="I1942" i="40"/>
  <c r="I1943" i="40"/>
  <c r="I1944" i="40"/>
  <c r="I1945" i="40"/>
  <c r="I1946" i="40"/>
  <c r="I1947" i="40"/>
  <c r="I1948" i="40"/>
  <c r="I1949" i="40"/>
  <c r="I1950" i="40"/>
  <c r="I1951" i="40"/>
  <c r="I1952" i="40"/>
  <c r="I1953" i="40"/>
  <c r="I1954" i="40"/>
  <c r="I1955" i="40"/>
  <c r="I1956" i="40"/>
  <c r="I1957" i="40"/>
  <c r="I1958" i="40"/>
  <c r="I1959" i="40"/>
  <c r="I1960" i="40"/>
  <c r="I1961" i="40"/>
  <c r="I1962" i="40"/>
  <c r="I1963" i="40"/>
  <c r="I1964" i="40"/>
  <c r="I1965" i="40"/>
  <c r="I1966" i="40"/>
  <c r="I1967" i="40"/>
  <c r="I1968" i="40"/>
  <c r="I1969" i="40"/>
  <c r="I1970" i="40"/>
  <c r="I1971" i="40"/>
  <c r="I1972" i="40"/>
  <c r="I1973" i="40"/>
  <c r="I1974" i="40"/>
  <c r="I1975" i="40"/>
  <c r="I1976" i="40"/>
  <c r="I1977" i="40"/>
  <c r="I1978" i="40"/>
  <c r="I1979" i="40"/>
  <c r="I1980" i="40"/>
  <c r="I1981" i="40"/>
  <c r="I1982" i="40"/>
  <c r="I1983" i="40"/>
  <c r="I1984" i="40"/>
  <c r="I1985" i="40"/>
  <c r="I1986" i="40"/>
  <c r="I1987" i="40"/>
  <c r="I1988" i="40"/>
  <c r="I1989" i="40"/>
  <c r="I1990" i="40"/>
  <c r="I1991" i="40"/>
  <c r="I1992" i="40"/>
  <c r="I1993" i="40"/>
  <c r="I1994" i="40"/>
  <c r="I1995" i="40"/>
  <c r="I1996" i="40"/>
  <c r="I1997" i="40"/>
  <c r="I1998" i="40"/>
  <c r="I1999" i="40"/>
  <c r="I2000" i="40"/>
  <c r="I2001" i="40"/>
  <c r="I2002" i="40"/>
  <c r="I2003" i="40"/>
  <c r="I2004" i="40"/>
  <c r="I2005" i="40"/>
  <c r="I2006" i="40"/>
  <c r="I2007" i="40"/>
  <c r="I2008" i="40"/>
  <c r="I2009" i="40"/>
  <c r="I2010" i="40"/>
  <c r="I2011" i="40"/>
  <c r="I2012" i="40"/>
  <c r="I2013" i="40"/>
  <c r="I2014" i="40"/>
  <c r="I2015" i="40"/>
  <c r="I2016" i="40"/>
  <c r="I2017" i="40"/>
  <c r="I2018" i="40"/>
  <c r="I2019" i="40"/>
  <c r="I2020" i="40"/>
  <c r="I2021" i="40"/>
  <c r="I2022" i="40"/>
  <c r="I2023" i="40"/>
  <c r="I2024" i="40"/>
  <c r="I2025" i="40"/>
  <c r="I2026" i="40"/>
  <c r="I2027" i="40"/>
  <c r="I2028" i="40"/>
  <c r="I2029" i="40"/>
  <c r="I2030" i="40"/>
  <c r="I2031" i="40"/>
  <c r="I2032" i="40"/>
  <c r="I2033" i="40"/>
  <c r="I2034" i="40"/>
  <c r="I2035" i="40"/>
  <c r="I2036" i="40"/>
  <c r="I2037" i="40"/>
  <c r="I2038" i="40"/>
  <c r="I2039" i="40"/>
  <c r="I2040" i="40"/>
  <c r="I2041" i="40"/>
  <c r="I2042" i="40"/>
  <c r="I2043" i="40"/>
  <c r="I2044" i="40"/>
  <c r="I2045" i="40"/>
  <c r="I2046" i="40"/>
  <c r="I2047" i="40"/>
  <c r="I2048" i="40"/>
  <c r="I2049" i="40"/>
  <c r="I2050" i="40"/>
  <c r="I2051" i="40"/>
  <c r="I2052" i="40"/>
  <c r="I2053" i="40"/>
  <c r="I2054" i="40"/>
  <c r="I2055" i="40"/>
  <c r="I2056" i="40"/>
  <c r="I2057" i="40"/>
  <c r="I2058" i="40"/>
  <c r="I2059" i="40"/>
  <c r="I2060" i="40"/>
  <c r="I2061" i="40"/>
  <c r="I2062" i="40"/>
  <c r="I2063" i="40"/>
  <c r="I2064" i="40"/>
  <c r="I2065" i="40"/>
  <c r="I2066" i="40"/>
  <c r="I2067" i="40"/>
  <c r="I2068" i="40"/>
  <c r="I2069" i="40"/>
  <c r="I2070" i="40"/>
  <c r="I2071" i="40"/>
  <c r="I2072" i="40"/>
  <c r="I2073" i="40"/>
  <c r="I2074" i="40"/>
  <c r="I2075" i="40"/>
  <c r="I2076" i="40"/>
  <c r="I2077" i="40"/>
  <c r="I2078" i="40"/>
  <c r="I2079" i="40"/>
  <c r="I2080" i="40"/>
  <c r="I2081" i="40"/>
  <c r="I2082" i="40"/>
  <c r="I2083" i="40"/>
  <c r="I2084" i="40"/>
  <c r="I2085" i="40"/>
  <c r="I2086" i="40"/>
  <c r="I2087" i="40"/>
  <c r="I2088" i="40"/>
  <c r="I2089" i="40"/>
  <c r="I2090" i="40"/>
  <c r="I2091" i="40"/>
  <c r="I2092" i="40"/>
  <c r="I2093" i="40"/>
  <c r="I2094" i="40"/>
  <c r="I2095" i="40"/>
  <c r="I2096" i="40"/>
  <c r="I2097" i="40"/>
  <c r="I2098" i="40"/>
  <c r="I2099" i="40"/>
  <c r="I2100" i="40"/>
  <c r="I2101" i="40"/>
  <c r="I2102" i="40"/>
  <c r="I2103" i="40"/>
  <c r="I2104" i="40"/>
  <c r="I2105" i="40"/>
  <c r="I2106" i="40"/>
  <c r="I2107" i="40"/>
  <c r="I2108" i="40"/>
  <c r="I2109" i="40"/>
  <c r="I2110" i="40"/>
  <c r="I2111" i="40"/>
  <c r="I2112" i="40"/>
  <c r="I2113" i="40"/>
  <c r="I2114" i="40"/>
  <c r="I2115" i="40"/>
  <c r="I2116" i="40"/>
  <c r="I2117" i="40"/>
  <c r="I2118" i="40"/>
  <c r="I2119" i="40"/>
  <c r="I2120" i="40"/>
  <c r="I2121" i="40"/>
  <c r="I2122" i="40"/>
  <c r="I2123" i="40"/>
  <c r="I2124" i="40"/>
  <c r="I2125" i="40"/>
  <c r="I2126" i="40"/>
  <c r="I2127" i="40"/>
  <c r="I2128" i="40"/>
  <c r="I2129" i="40"/>
  <c r="I2130" i="40"/>
  <c r="I2131" i="40"/>
  <c r="I2132" i="40"/>
  <c r="I2133" i="40"/>
  <c r="I2134" i="40"/>
  <c r="I2135" i="40"/>
  <c r="I2136" i="40"/>
  <c r="I2137" i="40"/>
  <c r="I2138" i="40"/>
  <c r="I2139" i="40"/>
  <c r="I2140" i="40"/>
  <c r="I2141" i="40"/>
  <c r="I2142" i="40"/>
  <c r="I2143" i="40"/>
  <c r="I2144" i="40"/>
  <c r="I2145" i="40"/>
  <c r="I2146" i="40"/>
  <c r="I2147" i="40"/>
  <c r="I2148" i="40"/>
  <c r="I2149" i="40"/>
  <c r="I2150" i="40"/>
  <c r="I2151" i="40"/>
  <c r="I2152" i="40"/>
  <c r="I2153" i="40"/>
  <c r="I2154" i="40"/>
  <c r="I2155" i="40"/>
  <c r="I2156" i="40"/>
  <c r="I2157" i="40"/>
  <c r="I2158" i="40"/>
  <c r="I2159" i="40"/>
  <c r="I2160" i="40"/>
  <c r="I2161" i="40"/>
  <c r="I2162" i="40"/>
  <c r="I2163" i="40"/>
  <c r="I2164" i="40"/>
  <c r="I2165" i="40"/>
  <c r="I2166" i="40"/>
  <c r="I2167" i="40"/>
  <c r="I2168" i="40"/>
  <c r="I2169" i="40"/>
  <c r="I2170" i="40"/>
  <c r="I2171" i="40"/>
  <c r="I2172" i="40"/>
  <c r="I2173" i="40"/>
  <c r="I2174" i="40"/>
  <c r="I2175" i="40"/>
  <c r="I2176" i="40"/>
  <c r="I2177" i="40"/>
  <c r="I2178" i="40"/>
  <c r="I2179" i="40"/>
  <c r="I2180" i="40"/>
  <c r="I2181" i="40"/>
  <c r="I2182" i="40"/>
  <c r="I2183" i="40"/>
  <c r="I2184" i="40"/>
  <c r="I2185" i="40"/>
  <c r="I2186" i="40"/>
  <c r="I2187" i="40"/>
  <c r="I2188" i="40"/>
  <c r="I2189" i="40"/>
  <c r="I2190" i="40"/>
  <c r="I2191" i="40"/>
  <c r="I2192" i="40"/>
  <c r="I2193" i="40"/>
  <c r="I2194" i="40"/>
  <c r="I2195" i="40"/>
  <c r="I2196" i="40"/>
  <c r="I2197" i="40"/>
  <c r="I2198" i="40"/>
  <c r="I2199" i="40"/>
  <c r="I2200" i="40"/>
  <c r="I2201" i="40"/>
  <c r="I2202" i="40"/>
  <c r="I2203" i="40"/>
  <c r="I2204" i="40"/>
  <c r="I2205" i="40"/>
  <c r="I2206" i="40"/>
  <c r="I2207" i="40"/>
  <c r="I2208" i="40"/>
  <c r="I2209" i="40"/>
  <c r="I2210" i="40"/>
  <c r="I2211" i="40"/>
  <c r="I2212" i="40"/>
  <c r="I2213" i="40"/>
  <c r="I2214" i="40"/>
  <c r="I2215" i="40"/>
  <c r="I2216" i="40"/>
  <c r="I2217" i="40"/>
  <c r="I2218" i="40"/>
  <c r="I2219" i="40"/>
  <c r="I2220" i="40"/>
  <c r="I2221" i="40"/>
  <c r="I2222" i="40"/>
  <c r="I2223" i="40"/>
  <c r="I2224" i="40"/>
  <c r="I2225" i="40"/>
  <c r="I2226" i="40"/>
  <c r="I2227" i="40"/>
  <c r="I2228" i="40"/>
  <c r="I2229" i="40"/>
  <c r="I2230" i="40"/>
  <c r="I2231" i="40"/>
  <c r="I2232" i="40"/>
  <c r="I2233" i="40"/>
  <c r="I2234" i="40"/>
  <c r="I2235" i="40"/>
  <c r="I2236" i="40"/>
  <c r="I2237" i="40"/>
  <c r="I2238" i="40"/>
  <c r="I2239" i="40"/>
  <c r="I2240" i="40"/>
  <c r="I2241" i="40"/>
  <c r="I2242" i="40"/>
  <c r="I2243" i="40"/>
  <c r="I2244" i="40"/>
  <c r="I2245" i="40"/>
  <c r="I2246" i="40"/>
  <c r="I2247" i="40"/>
  <c r="I2248" i="40"/>
  <c r="I2249" i="40"/>
  <c r="I2250" i="40"/>
  <c r="I2251" i="40"/>
  <c r="I2252" i="40"/>
  <c r="I2253" i="40"/>
  <c r="I2254" i="40"/>
  <c r="I2255" i="40"/>
  <c r="I2256" i="40"/>
  <c r="I2257" i="40"/>
  <c r="I2258" i="40"/>
  <c r="I2259" i="40"/>
  <c r="I2260" i="40"/>
  <c r="I2261" i="40"/>
  <c r="I2262" i="40"/>
  <c r="I2263" i="40"/>
  <c r="I2264" i="40"/>
  <c r="I2265" i="40"/>
  <c r="I2266" i="40"/>
  <c r="I2267" i="40"/>
  <c r="I2268" i="40"/>
  <c r="I2269" i="40"/>
  <c r="I2270" i="40"/>
  <c r="I2271" i="40"/>
  <c r="I2272" i="40"/>
  <c r="I2273" i="40"/>
  <c r="I2274" i="40"/>
  <c r="I2275" i="40"/>
  <c r="I2276" i="40"/>
  <c r="I2277" i="40"/>
  <c r="I2278" i="40"/>
  <c r="I2279" i="40"/>
  <c r="I2280" i="40"/>
  <c r="I2281" i="40"/>
  <c r="I2282" i="40"/>
  <c r="I2283" i="40"/>
  <c r="I2284" i="40"/>
  <c r="I2285" i="40"/>
  <c r="I2286" i="40"/>
  <c r="I2287" i="40"/>
  <c r="I2288" i="40"/>
  <c r="I2289" i="40"/>
  <c r="I2290" i="40"/>
  <c r="I2291" i="40"/>
  <c r="I2292" i="40"/>
  <c r="I2293" i="40"/>
  <c r="I2294" i="40"/>
  <c r="I2295" i="40"/>
  <c r="I2296" i="40"/>
  <c r="I2297" i="40"/>
  <c r="I2298" i="40"/>
  <c r="I2299" i="40"/>
  <c r="I2300" i="40"/>
  <c r="I2301" i="40"/>
  <c r="I2302" i="40"/>
  <c r="I2303" i="40"/>
  <c r="I2304" i="40"/>
  <c r="I2305" i="40"/>
  <c r="I2306" i="40"/>
  <c r="I2307" i="40"/>
  <c r="I2308" i="40"/>
  <c r="I2309" i="40"/>
  <c r="I2310" i="40"/>
  <c r="I2311" i="40"/>
  <c r="I2312" i="40"/>
  <c r="I2313" i="40"/>
  <c r="I2314" i="40"/>
  <c r="I2315" i="40"/>
  <c r="I2316" i="40"/>
  <c r="I2317" i="40"/>
  <c r="I2318" i="40"/>
  <c r="I2319" i="40"/>
  <c r="I2320" i="40"/>
  <c r="I2321" i="40"/>
  <c r="I2322" i="40"/>
  <c r="I2323" i="40"/>
  <c r="I2324" i="40"/>
  <c r="I2325" i="40"/>
  <c r="I2326" i="40"/>
  <c r="I2327" i="40"/>
  <c r="I2328" i="40"/>
  <c r="I2329" i="40"/>
  <c r="I2330" i="40"/>
  <c r="I2331" i="40"/>
  <c r="I2332" i="40"/>
  <c r="I2333" i="40"/>
  <c r="I2334" i="40"/>
  <c r="I2335" i="40"/>
  <c r="I2336" i="40"/>
  <c r="I2337" i="40"/>
  <c r="I2338" i="40"/>
  <c r="I2339" i="40"/>
  <c r="I2340" i="40"/>
  <c r="I2341" i="40"/>
  <c r="I2342" i="40"/>
  <c r="I2343" i="40"/>
  <c r="I2344" i="40"/>
  <c r="I2345" i="40"/>
  <c r="I2346" i="40"/>
  <c r="I2347" i="40"/>
  <c r="I2348" i="40"/>
  <c r="I2349" i="40"/>
  <c r="I2350" i="40"/>
  <c r="I2351" i="40"/>
  <c r="I2352" i="40"/>
  <c r="I2353" i="40"/>
  <c r="I2354" i="40"/>
  <c r="I2355" i="40"/>
  <c r="I2356" i="40"/>
  <c r="I2357" i="40"/>
  <c r="I2358" i="40"/>
  <c r="I2359" i="40"/>
  <c r="I2360" i="40"/>
  <c r="I2361" i="40"/>
  <c r="I2362" i="40"/>
  <c r="I2363" i="40"/>
  <c r="I2364" i="40"/>
  <c r="I2365" i="40"/>
  <c r="I2366" i="40"/>
  <c r="I2367" i="40"/>
  <c r="I2368" i="40"/>
  <c r="I2369" i="40"/>
  <c r="I2370" i="40"/>
  <c r="I2371" i="40"/>
  <c r="I2372" i="40"/>
  <c r="I2373" i="40"/>
  <c r="I2374" i="40"/>
  <c r="I2375" i="40"/>
  <c r="I2376" i="40"/>
  <c r="I2377" i="40"/>
  <c r="I2378" i="40"/>
  <c r="I2379" i="40"/>
  <c r="I2380" i="40"/>
  <c r="I2381" i="40"/>
  <c r="I2382" i="40"/>
  <c r="I2383" i="40"/>
  <c r="I2384" i="40"/>
  <c r="I2385" i="40"/>
  <c r="I2386" i="40"/>
  <c r="I2387" i="40"/>
  <c r="I2388" i="40"/>
  <c r="I2389" i="40"/>
  <c r="I2390" i="40"/>
  <c r="I2391" i="40"/>
  <c r="I2392" i="40"/>
  <c r="I2393" i="40"/>
  <c r="I2394" i="40"/>
  <c r="I2395" i="40"/>
  <c r="I2396" i="40"/>
  <c r="I2397" i="40"/>
  <c r="I2398" i="40"/>
  <c r="I2399" i="40"/>
  <c r="I2400" i="40"/>
  <c r="I2401" i="40"/>
  <c r="I2402" i="40"/>
  <c r="I2403" i="40"/>
  <c r="I2404" i="40"/>
  <c r="I2405" i="40"/>
  <c r="I2406" i="40"/>
  <c r="I2407" i="40"/>
  <c r="I2408" i="40"/>
  <c r="I2409" i="40"/>
  <c r="I2410" i="40"/>
  <c r="I2411" i="40"/>
  <c r="I2412" i="40"/>
  <c r="I2413" i="40"/>
  <c r="I2414" i="40"/>
  <c r="I2415" i="40"/>
  <c r="I2416" i="40"/>
  <c r="I2417" i="40"/>
  <c r="I2418" i="40"/>
  <c r="I2419" i="40"/>
  <c r="I2420" i="40"/>
  <c r="I2421" i="40"/>
  <c r="I2422" i="40"/>
  <c r="I2423" i="40"/>
  <c r="I2424" i="40"/>
  <c r="I2425" i="40"/>
  <c r="I2426" i="40"/>
  <c r="I2427" i="40"/>
  <c r="I2428" i="40"/>
  <c r="I2429" i="40"/>
  <c r="I2430" i="40"/>
  <c r="I2431" i="40"/>
  <c r="I2432" i="40"/>
  <c r="I2433" i="40"/>
  <c r="I2434" i="40"/>
  <c r="I2435" i="40"/>
  <c r="I2436" i="40"/>
  <c r="I2437" i="40"/>
  <c r="I2438" i="40"/>
  <c r="I2439" i="40"/>
  <c r="I2440" i="40"/>
  <c r="I2441" i="40"/>
  <c r="I2442" i="40"/>
  <c r="I2443" i="40"/>
  <c r="I2444" i="40"/>
  <c r="I2445" i="40"/>
  <c r="I2446" i="40"/>
  <c r="I2447" i="40"/>
  <c r="I2448" i="40"/>
  <c r="I2449" i="40"/>
  <c r="I2450" i="40"/>
  <c r="I2451" i="40"/>
  <c r="I2452" i="40"/>
  <c r="I2453" i="40"/>
  <c r="I2454" i="40"/>
  <c r="I2455" i="40"/>
  <c r="I2456" i="40"/>
  <c r="I2457" i="40"/>
  <c r="I2458" i="40"/>
  <c r="I2459" i="40"/>
  <c r="I2460" i="40"/>
  <c r="I2461" i="40"/>
  <c r="I2462" i="40"/>
  <c r="I2463" i="40"/>
  <c r="I2464" i="40"/>
  <c r="I2465" i="40"/>
  <c r="I2466" i="40"/>
  <c r="I2467" i="40"/>
  <c r="I2468" i="40"/>
  <c r="I2469" i="40"/>
  <c r="I2470" i="40"/>
  <c r="I2471" i="40"/>
  <c r="I2472" i="40"/>
  <c r="I2473" i="40"/>
  <c r="I2474" i="40"/>
  <c r="I2475" i="40"/>
  <c r="I2476" i="40"/>
  <c r="I2477" i="40"/>
  <c r="I2478" i="40"/>
  <c r="I2479" i="40"/>
  <c r="I2480" i="40"/>
  <c r="I2481" i="40"/>
  <c r="I2482" i="40"/>
  <c r="I2483" i="40"/>
  <c r="I2484" i="40"/>
  <c r="I2485" i="40"/>
  <c r="I2486" i="40"/>
  <c r="I2487" i="40"/>
  <c r="I2488" i="40"/>
  <c r="I2489" i="40"/>
  <c r="I2490" i="40"/>
  <c r="I2491" i="40"/>
  <c r="I2492" i="40"/>
  <c r="I2493" i="40"/>
  <c r="I2494" i="40"/>
  <c r="I2495" i="40"/>
  <c r="I2496" i="40"/>
  <c r="I2497" i="40"/>
  <c r="I2498" i="40"/>
  <c r="I2499" i="40"/>
  <c r="I2500" i="40"/>
  <c r="I2501" i="40"/>
  <c r="I2502" i="40"/>
  <c r="I2503" i="40"/>
  <c r="I2504" i="40"/>
  <c r="I2505" i="40"/>
  <c r="I2506" i="40"/>
  <c r="I2507" i="40"/>
  <c r="I2508" i="40"/>
  <c r="I2509" i="40"/>
  <c r="I2510" i="40"/>
  <c r="I2511" i="40"/>
  <c r="I2512" i="40"/>
  <c r="I2513" i="40"/>
  <c r="I2514" i="40"/>
  <c r="I2515" i="40"/>
  <c r="I2516" i="40"/>
  <c r="I2517" i="40"/>
  <c r="I2518" i="40"/>
  <c r="I2519" i="40"/>
  <c r="I2520" i="40"/>
  <c r="I2521" i="40"/>
  <c r="I2522" i="40"/>
  <c r="I2523" i="40"/>
  <c r="I2524" i="40"/>
  <c r="I2525" i="40"/>
  <c r="I2526" i="40"/>
  <c r="I2527" i="40"/>
  <c r="I2528" i="40"/>
  <c r="I2529" i="40"/>
  <c r="I2530" i="40"/>
  <c r="I2531" i="40"/>
  <c r="I2532" i="40"/>
  <c r="I2533" i="40"/>
  <c r="I2534" i="40"/>
  <c r="I2535" i="40"/>
  <c r="I2536" i="40"/>
  <c r="I2537" i="40"/>
  <c r="I2538" i="40"/>
  <c r="I2539" i="40"/>
  <c r="I2540" i="40"/>
  <c r="I2541" i="40"/>
  <c r="I2542" i="40"/>
  <c r="I2543" i="40"/>
  <c r="I2544" i="40"/>
  <c r="I2545" i="40"/>
  <c r="I2546" i="40"/>
  <c r="I2547" i="40"/>
  <c r="I2548" i="40"/>
  <c r="I2549" i="40"/>
  <c r="I2550" i="40"/>
  <c r="I2551" i="40"/>
  <c r="I2552" i="40"/>
  <c r="I2553" i="40"/>
  <c r="I2554" i="40"/>
  <c r="I2555" i="40"/>
  <c r="I2556" i="40"/>
  <c r="I2557" i="40"/>
  <c r="I2558" i="40"/>
  <c r="I2559" i="40"/>
  <c r="I2560" i="40"/>
  <c r="I2561" i="40"/>
  <c r="I2562" i="40"/>
  <c r="I2563" i="40"/>
  <c r="I2564" i="40"/>
  <c r="AJ186" i="41"/>
  <c r="AJ187" i="41"/>
  <c r="AJ188" i="41"/>
  <c r="AJ189" i="41"/>
  <c r="AJ190" i="41"/>
  <c r="AJ191" i="41"/>
  <c r="AJ192" i="41"/>
  <c r="AJ193" i="41"/>
  <c r="AJ194" i="41"/>
  <c r="AJ195" i="41"/>
  <c r="AJ196" i="41"/>
  <c r="AJ197" i="41"/>
  <c r="AJ198" i="41"/>
  <c r="AJ199" i="41"/>
  <c r="AJ200" i="41"/>
  <c r="AJ201" i="41"/>
  <c r="AJ202" i="41"/>
  <c r="AJ203" i="41"/>
  <c r="AJ204" i="41"/>
  <c r="AJ205" i="41"/>
  <c r="AJ206" i="41"/>
  <c r="AJ207" i="41"/>
  <c r="AJ208" i="41"/>
  <c r="AJ209" i="41"/>
  <c r="AJ210" i="41"/>
  <c r="AJ211" i="41"/>
  <c r="AJ212" i="41"/>
  <c r="AJ213" i="41"/>
  <c r="AJ214" i="41"/>
  <c r="AJ215" i="41"/>
  <c r="AJ216" i="41"/>
  <c r="AJ217" i="41"/>
  <c r="AJ218" i="41"/>
  <c r="AJ219" i="41"/>
  <c r="AJ220" i="41"/>
  <c r="AJ221" i="41"/>
  <c r="AJ222" i="41"/>
  <c r="AJ223" i="41"/>
  <c r="AJ224" i="41"/>
  <c r="AJ225" i="41"/>
  <c r="AJ226" i="41"/>
  <c r="AJ227" i="41"/>
  <c r="AJ228" i="41"/>
  <c r="AJ229" i="41"/>
  <c r="AJ230" i="41"/>
  <c r="AJ231" i="41"/>
  <c r="AJ232" i="41"/>
  <c r="AJ233" i="41"/>
  <c r="AJ234" i="41"/>
  <c r="AJ235" i="41"/>
  <c r="AJ236" i="41"/>
  <c r="AJ237" i="41"/>
  <c r="AJ238" i="41"/>
  <c r="AJ239" i="41"/>
  <c r="AJ240" i="41"/>
  <c r="AJ241" i="41"/>
  <c r="AJ242" i="41"/>
  <c r="AJ243" i="41"/>
  <c r="AJ174" i="41"/>
  <c r="AJ175" i="41"/>
  <c r="AJ176" i="41"/>
  <c r="AJ177" i="41"/>
  <c r="AJ178" i="41"/>
  <c r="AJ179" i="41"/>
  <c r="AJ180" i="41"/>
  <c r="AJ181" i="41"/>
  <c r="AJ182" i="41"/>
  <c r="AJ183" i="41"/>
  <c r="AJ184" i="41"/>
  <c r="AJ185" i="41"/>
  <c r="AJ173" i="41"/>
  <c r="AJ130" i="41"/>
  <c r="AJ131" i="41"/>
  <c r="AJ132" i="41"/>
  <c r="AJ133" i="41"/>
  <c r="AJ134" i="41"/>
  <c r="AJ135" i="41"/>
  <c r="AJ136" i="41"/>
  <c r="AJ137" i="41"/>
  <c r="AJ138" i="41"/>
  <c r="AJ139" i="41"/>
  <c r="AJ140" i="41"/>
  <c r="AJ141" i="41"/>
  <c r="AJ142" i="41"/>
  <c r="AJ143" i="41"/>
  <c r="AJ144" i="41"/>
  <c r="AJ145" i="41"/>
  <c r="AJ146" i="41"/>
  <c r="AJ147" i="41"/>
  <c r="AJ148" i="41"/>
  <c r="AJ149" i="41"/>
  <c r="AJ150" i="41"/>
  <c r="AJ151" i="41"/>
  <c r="AJ152" i="41"/>
  <c r="AJ153" i="41"/>
  <c r="AJ154" i="41"/>
  <c r="AJ155" i="41"/>
  <c r="AJ156" i="41"/>
  <c r="AJ157" i="41"/>
  <c r="AJ158" i="41"/>
  <c r="AJ159" i="41"/>
  <c r="AJ160" i="41"/>
  <c r="AJ161" i="41"/>
  <c r="AJ162" i="41"/>
  <c r="AJ163" i="41"/>
  <c r="AJ164" i="41"/>
  <c r="AJ165" i="41"/>
  <c r="AJ166" i="41"/>
  <c r="AJ167" i="41"/>
  <c r="AJ168" i="41"/>
  <c r="AJ169" i="41"/>
  <c r="AJ170" i="41"/>
  <c r="AJ171" i="41"/>
  <c r="AJ172" i="41"/>
  <c r="AJ100" i="41"/>
  <c r="AJ101" i="41"/>
  <c r="AJ102" i="41"/>
  <c r="AJ103" i="41"/>
  <c r="AJ104" i="41"/>
  <c r="AJ105" i="41"/>
  <c r="AJ106" i="41"/>
  <c r="AJ107" i="41"/>
  <c r="AJ108" i="41"/>
  <c r="AJ109" i="41"/>
  <c r="AJ110" i="41"/>
  <c r="AJ111" i="41"/>
  <c r="AJ112" i="41"/>
  <c r="AJ113" i="41"/>
  <c r="AJ114" i="41"/>
  <c r="AJ115" i="41"/>
  <c r="AJ116" i="41"/>
  <c r="AJ117" i="41"/>
  <c r="AJ118" i="41"/>
  <c r="AJ119" i="41"/>
  <c r="AJ120" i="41"/>
  <c r="AJ121" i="41"/>
  <c r="AJ122" i="41"/>
  <c r="AJ123" i="41"/>
  <c r="AJ124" i="41"/>
  <c r="AJ125" i="41"/>
  <c r="AJ126" i="41"/>
  <c r="AJ127" i="41"/>
  <c r="AJ128" i="41"/>
  <c r="AJ129" i="41"/>
  <c r="AJ4" i="41"/>
  <c r="AJ5" i="41"/>
  <c r="AJ6" i="41"/>
  <c r="AJ7" i="41"/>
  <c r="AJ8" i="41"/>
  <c r="AJ9" i="41"/>
  <c r="AJ10" i="41"/>
  <c r="AJ11" i="41"/>
  <c r="AJ12" i="41"/>
  <c r="AJ13" i="41"/>
  <c r="AJ14" i="41"/>
  <c r="AJ15" i="41"/>
  <c r="AJ16" i="41"/>
  <c r="AJ17" i="41"/>
  <c r="AJ18" i="41"/>
  <c r="AJ19" i="41"/>
  <c r="AJ20" i="41"/>
  <c r="AJ21" i="41"/>
  <c r="AJ22" i="41"/>
  <c r="AJ23" i="41"/>
  <c r="AJ24" i="41"/>
  <c r="AJ25" i="41"/>
  <c r="AJ26" i="41"/>
  <c r="AJ27" i="41"/>
  <c r="AJ28" i="41"/>
  <c r="AJ29" i="41"/>
  <c r="AJ30" i="41"/>
  <c r="AJ31" i="41"/>
  <c r="AJ32" i="41"/>
  <c r="AJ33" i="41"/>
  <c r="AJ34" i="41"/>
  <c r="AJ35" i="41"/>
  <c r="AJ36" i="41"/>
  <c r="AJ37" i="41"/>
  <c r="AJ38" i="41"/>
  <c r="AJ39" i="41"/>
  <c r="AJ40" i="41"/>
  <c r="AJ41" i="41"/>
  <c r="AJ42" i="41"/>
  <c r="AJ43" i="41"/>
  <c r="AJ44" i="41"/>
  <c r="AJ45" i="41"/>
  <c r="AJ46" i="41"/>
  <c r="AJ47" i="41"/>
  <c r="AJ48" i="41"/>
  <c r="AJ49" i="41"/>
  <c r="AJ50" i="41"/>
  <c r="AJ51" i="41"/>
  <c r="AJ52" i="41"/>
  <c r="AJ53" i="41"/>
  <c r="AJ54" i="41"/>
  <c r="AJ55" i="41"/>
  <c r="AJ56" i="41"/>
  <c r="AJ57" i="41"/>
  <c r="AJ58" i="41"/>
  <c r="AJ59" i="41"/>
  <c r="AJ60" i="41"/>
  <c r="AJ61" i="41"/>
  <c r="AJ62" i="41"/>
  <c r="AJ63" i="41"/>
  <c r="AJ64" i="41"/>
  <c r="AJ65" i="41"/>
  <c r="AJ66" i="41"/>
  <c r="AJ67" i="41"/>
  <c r="AJ68" i="41"/>
  <c r="AJ69" i="41"/>
  <c r="AJ70" i="41"/>
  <c r="AJ71" i="41"/>
  <c r="AJ72" i="41"/>
  <c r="AJ73" i="41"/>
  <c r="AJ74" i="41"/>
  <c r="AJ75" i="41"/>
  <c r="AJ76" i="41"/>
  <c r="AJ77" i="41"/>
  <c r="AJ78" i="41"/>
  <c r="AJ79" i="41"/>
  <c r="AJ80" i="41"/>
  <c r="AJ81" i="41"/>
  <c r="AJ82" i="41"/>
  <c r="AJ83" i="41"/>
  <c r="AJ84" i="41"/>
  <c r="AJ85" i="41"/>
  <c r="AJ86" i="41"/>
  <c r="AJ87" i="41"/>
  <c r="AJ88" i="41"/>
  <c r="AJ89" i="41"/>
  <c r="AJ90" i="41"/>
  <c r="AJ91" i="41"/>
  <c r="AJ92" i="41"/>
  <c r="AJ93" i="41"/>
  <c r="AJ94" i="41"/>
  <c r="AJ95" i="41"/>
  <c r="AJ96" i="41"/>
  <c r="AJ97" i="41"/>
  <c r="AJ98" i="41"/>
  <c r="AJ99" i="41"/>
  <c r="F4" i="44"/>
  <c r="F5" i="44"/>
  <c r="F6" i="44"/>
  <c r="F7" i="44"/>
  <c r="F8" i="44"/>
  <c r="F9" i="44"/>
  <c r="F10" i="44"/>
  <c r="F11" i="44"/>
  <c r="F12" i="44"/>
  <c r="F13" i="44"/>
  <c r="F14" i="44"/>
  <c r="F15" i="44"/>
  <c r="F16" i="44"/>
  <c r="F17" i="44"/>
  <c r="F18" i="44"/>
  <c r="F19" i="44"/>
  <c r="F20" i="44"/>
  <c r="F21" i="44"/>
  <c r="F22" i="44"/>
  <c r="F23" i="44"/>
  <c r="F24" i="44"/>
  <c r="F25" i="44"/>
  <c r="F26" i="44"/>
  <c r="F27" i="44"/>
  <c r="F28" i="44"/>
  <c r="F29" i="44"/>
  <c r="F2" i="44"/>
  <c r="I3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47" i="40"/>
  <c r="I48" i="40"/>
  <c r="I49" i="40"/>
  <c r="I50" i="40"/>
  <c r="I51" i="40"/>
  <c r="I52" i="40"/>
  <c r="I53" i="40"/>
  <c r="I54" i="40"/>
  <c r="I55" i="40"/>
  <c r="I56" i="40"/>
  <c r="I57" i="40"/>
  <c r="I58" i="40"/>
  <c r="I59" i="40"/>
  <c r="I60" i="40"/>
  <c r="I61" i="40"/>
  <c r="I62" i="40"/>
  <c r="I63" i="40"/>
  <c r="I64" i="40"/>
  <c r="I65" i="40"/>
  <c r="I66" i="40"/>
  <c r="I67" i="40"/>
  <c r="I68" i="40"/>
  <c r="I69" i="40"/>
  <c r="I70" i="40"/>
  <c r="I71" i="40"/>
  <c r="I72" i="40"/>
  <c r="I73" i="40"/>
  <c r="I74" i="40"/>
  <c r="I75" i="40"/>
  <c r="I76" i="40"/>
  <c r="I77" i="40"/>
  <c r="I78" i="40"/>
  <c r="I79" i="40"/>
  <c r="I80" i="40"/>
  <c r="I81" i="40"/>
  <c r="I82" i="40"/>
  <c r="I83" i="40"/>
  <c r="I84" i="40"/>
  <c r="I85" i="40"/>
  <c r="I86" i="40"/>
  <c r="I87" i="40"/>
  <c r="I88" i="40"/>
  <c r="I89" i="40"/>
  <c r="I90" i="40"/>
  <c r="I91" i="40"/>
  <c r="I92" i="40"/>
  <c r="I93" i="40"/>
  <c r="I94" i="40"/>
  <c r="I95" i="40"/>
  <c r="I96" i="40"/>
  <c r="I97" i="40"/>
  <c r="I98" i="40"/>
  <c r="I99" i="40"/>
  <c r="I100" i="40"/>
  <c r="I101" i="40"/>
  <c r="I102" i="40"/>
  <c r="I103" i="40"/>
  <c r="I104" i="40"/>
  <c r="I105" i="40"/>
  <c r="I106" i="40"/>
  <c r="I107" i="40"/>
  <c r="I108" i="40"/>
  <c r="I109" i="40"/>
  <c r="I110" i="40"/>
  <c r="I111" i="40"/>
  <c r="I112" i="40"/>
  <c r="I113" i="40"/>
  <c r="I114" i="40"/>
  <c r="I115" i="40"/>
  <c r="I116" i="40"/>
  <c r="I117" i="40"/>
  <c r="I118" i="40"/>
  <c r="I119" i="40"/>
  <c r="I120" i="40"/>
  <c r="I121" i="40"/>
  <c r="I122" i="40"/>
  <c r="I123" i="40"/>
  <c r="I124" i="40"/>
  <c r="I125" i="40"/>
  <c r="I126" i="40"/>
  <c r="I127" i="40"/>
  <c r="I128" i="40"/>
  <c r="I129" i="40"/>
  <c r="I130" i="40"/>
  <c r="I131" i="40"/>
  <c r="I132" i="40"/>
  <c r="I133" i="40"/>
  <c r="I134" i="40"/>
  <c r="I135" i="40"/>
  <c r="I136" i="40"/>
  <c r="I137" i="40"/>
  <c r="I138" i="40"/>
  <c r="I139" i="40"/>
  <c r="I140" i="40"/>
  <c r="I141" i="40"/>
  <c r="I142" i="40"/>
  <c r="I143" i="40"/>
  <c r="I144" i="40"/>
  <c r="I145" i="40"/>
  <c r="I146" i="40"/>
  <c r="I147" i="40"/>
  <c r="I148" i="40"/>
  <c r="I149" i="40"/>
  <c r="I150" i="40"/>
  <c r="I151" i="40"/>
  <c r="I152" i="40"/>
  <c r="I153" i="40"/>
  <c r="I154" i="40"/>
  <c r="I155" i="40"/>
  <c r="I156" i="40"/>
  <c r="I157" i="40"/>
  <c r="I158" i="40"/>
  <c r="I159" i="40"/>
  <c r="I160" i="40"/>
  <c r="I161" i="40"/>
  <c r="I162" i="40"/>
  <c r="I163" i="40"/>
  <c r="I164" i="40"/>
  <c r="I165" i="40"/>
  <c r="I166" i="40"/>
  <c r="I167" i="40"/>
  <c r="I168" i="40"/>
  <c r="I169" i="40"/>
  <c r="I170" i="40"/>
  <c r="I171" i="40"/>
  <c r="I172" i="40"/>
  <c r="I173" i="40"/>
  <c r="I174" i="40"/>
  <c r="I175" i="40"/>
  <c r="I176" i="40"/>
  <c r="I177" i="40"/>
  <c r="I178" i="40"/>
  <c r="I179" i="40"/>
  <c r="I180" i="40"/>
  <c r="I181" i="40"/>
  <c r="I182" i="40"/>
  <c r="I183" i="40"/>
  <c r="I184" i="40"/>
  <c r="I185" i="40"/>
  <c r="I186" i="40"/>
  <c r="I187" i="40"/>
  <c r="I188" i="40"/>
  <c r="I189" i="40"/>
  <c r="I190" i="40"/>
  <c r="I191" i="40"/>
  <c r="I192" i="40"/>
  <c r="I193" i="40"/>
  <c r="I194" i="40"/>
  <c r="I195" i="40"/>
  <c r="I196" i="40"/>
  <c r="I197" i="40"/>
  <c r="I198" i="40"/>
  <c r="I199" i="40"/>
  <c r="I200" i="40"/>
  <c r="I201" i="40"/>
  <c r="I202" i="40"/>
  <c r="I203" i="40"/>
  <c r="I204" i="40"/>
  <c r="I205" i="40"/>
  <c r="I206" i="40"/>
  <c r="I207" i="40"/>
  <c r="I208" i="40"/>
  <c r="I209" i="40"/>
  <c r="I210" i="40"/>
  <c r="I211" i="40"/>
  <c r="I212" i="40"/>
  <c r="I213" i="40"/>
  <c r="I214" i="40"/>
  <c r="I215" i="40"/>
  <c r="I216" i="40"/>
  <c r="I217" i="40"/>
  <c r="I218" i="40"/>
  <c r="I219" i="40"/>
  <c r="I220" i="40"/>
  <c r="I221" i="40"/>
  <c r="I222" i="40"/>
  <c r="I223" i="40"/>
  <c r="I224" i="40"/>
  <c r="I225" i="40"/>
  <c r="I226" i="40"/>
  <c r="I227" i="40"/>
  <c r="I228" i="40"/>
  <c r="I229" i="40"/>
  <c r="I230" i="40"/>
  <c r="I231" i="40"/>
  <c r="I232" i="40"/>
  <c r="I233" i="40"/>
  <c r="I234" i="40"/>
  <c r="I235" i="40"/>
  <c r="I236" i="40"/>
  <c r="I237" i="40"/>
  <c r="I238" i="40"/>
  <c r="I239" i="40"/>
  <c r="I240" i="40"/>
  <c r="I241" i="40"/>
  <c r="I242" i="40"/>
  <c r="I243" i="40"/>
  <c r="I244" i="40"/>
  <c r="I245" i="40"/>
  <c r="I246" i="40"/>
  <c r="I247" i="40"/>
  <c r="I248" i="40"/>
  <c r="I249" i="40"/>
  <c r="I250" i="40"/>
  <c r="I251" i="40"/>
  <c r="I252" i="40"/>
  <c r="I253" i="40"/>
  <c r="I254" i="40"/>
  <c r="I255" i="40"/>
  <c r="I256" i="40"/>
  <c r="I257" i="40"/>
  <c r="I258" i="40"/>
  <c r="I259" i="40"/>
  <c r="I260" i="40"/>
  <c r="I261" i="40"/>
  <c r="I262" i="40"/>
  <c r="I263" i="40"/>
  <c r="I264" i="40"/>
  <c r="I265" i="40"/>
  <c r="I266" i="40"/>
  <c r="I267" i="40"/>
  <c r="I268" i="40"/>
  <c r="I269" i="40"/>
  <c r="I270" i="40"/>
  <c r="I271" i="40"/>
  <c r="I272" i="40"/>
  <c r="I273" i="40"/>
  <c r="I274" i="40"/>
  <c r="I275" i="40"/>
  <c r="I276" i="40"/>
  <c r="I277" i="40"/>
  <c r="I278" i="40"/>
  <c r="I279" i="40"/>
  <c r="I280" i="40"/>
  <c r="I281" i="40"/>
  <c r="I282" i="40"/>
  <c r="I283" i="40"/>
  <c r="I284" i="40"/>
  <c r="I285" i="40"/>
  <c r="I286" i="40"/>
  <c r="I287" i="40"/>
  <c r="I288" i="40"/>
  <c r="I289" i="40"/>
  <c r="I290" i="40"/>
  <c r="I291" i="40"/>
  <c r="I292" i="40"/>
  <c r="I293" i="40"/>
  <c r="I294" i="40"/>
  <c r="I295" i="40"/>
  <c r="I296" i="40"/>
  <c r="I297" i="40"/>
  <c r="I298" i="40"/>
  <c r="I299" i="40"/>
  <c r="I300" i="40"/>
  <c r="I301" i="40"/>
  <c r="I302" i="40"/>
  <c r="I303" i="40"/>
  <c r="I304" i="40"/>
  <c r="I305" i="40"/>
  <c r="I306" i="40"/>
  <c r="I307" i="40"/>
  <c r="I308" i="40"/>
  <c r="I309" i="40"/>
  <c r="I310" i="40"/>
  <c r="I311" i="40"/>
  <c r="I312" i="40"/>
  <c r="I313" i="40"/>
  <c r="I314" i="40"/>
  <c r="I315" i="40"/>
  <c r="I316" i="40"/>
  <c r="I317" i="40"/>
  <c r="I318" i="40"/>
  <c r="I319" i="40"/>
  <c r="I320" i="40"/>
  <c r="I321" i="40"/>
  <c r="I322" i="40"/>
  <c r="I323" i="40"/>
  <c r="I324" i="40"/>
  <c r="I325" i="40"/>
  <c r="I326" i="40"/>
  <c r="I327" i="40"/>
  <c r="I328" i="40"/>
  <c r="I329" i="40"/>
  <c r="I330" i="40"/>
  <c r="I331" i="40"/>
  <c r="I332" i="40"/>
  <c r="I333" i="40"/>
  <c r="I334" i="40"/>
  <c r="I335" i="40"/>
  <c r="I336" i="40"/>
  <c r="I337" i="40"/>
  <c r="I338" i="40"/>
  <c r="I339" i="40"/>
  <c r="I340" i="40"/>
  <c r="I341" i="40"/>
  <c r="I342" i="40"/>
  <c r="I343" i="40"/>
  <c r="I344" i="40"/>
  <c r="I345" i="40"/>
  <c r="I346" i="40"/>
  <c r="I347" i="40"/>
  <c r="I348" i="40"/>
  <c r="I349" i="40"/>
  <c r="I350" i="40"/>
  <c r="I351" i="40"/>
  <c r="I352" i="40"/>
  <c r="I353" i="40"/>
  <c r="I354" i="40"/>
  <c r="I355" i="40"/>
  <c r="I356" i="40"/>
  <c r="I357" i="40"/>
  <c r="I358" i="40"/>
  <c r="I359" i="40"/>
  <c r="I360" i="40"/>
  <c r="I361" i="40"/>
  <c r="I362" i="40"/>
  <c r="I363" i="40"/>
  <c r="I364" i="40"/>
  <c r="I365" i="40"/>
  <c r="I366" i="40"/>
  <c r="I367" i="40"/>
  <c r="I368" i="40"/>
  <c r="I369" i="40"/>
  <c r="I370" i="40"/>
  <c r="I371" i="40"/>
  <c r="I372" i="40"/>
  <c r="I373" i="40"/>
  <c r="I374" i="40"/>
  <c r="I375" i="40"/>
  <c r="I376" i="40"/>
  <c r="I377" i="40"/>
  <c r="I378" i="40"/>
  <c r="I379" i="40"/>
  <c r="I380" i="40"/>
  <c r="I381" i="40"/>
  <c r="I382" i="40"/>
  <c r="I383" i="40"/>
  <c r="I384" i="40"/>
  <c r="I385" i="40"/>
  <c r="I386" i="40"/>
  <c r="I387" i="40"/>
  <c r="I388" i="40"/>
  <c r="I389" i="40"/>
  <c r="I390" i="40"/>
  <c r="I391" i="40"/>
  <c r="I392" i="40"/>
  <c r="I393" i="40"/>
  <c r="I394" i="40"/>
  <c r="I395" i="40"/>
  <c r="I396" i="40"/>
  <c r="I397" i="40"/>
  <c r="I398" i="40"/>
  <c r="I399" i="40"/>
  <c r="I400" i="40"/>
  <c r="I401" i="40"/>
  <c r="I402" i="40"/>
  <c r="I403" i="40"/>
  <c r="I404" i="40"/>
  <c r="I405" i="40"/>
  <c r="I406" i="40"/>
  <c r="I407" i="40"/>
  <c r="I408" i="40"/>
  <c r="I409" i="40"/>
  <c r="I410" i="40"/>
  <c r="I411" i="40"/>
  <c r="I412" i="40"/>
  <c r="I413" i="40"/>
  <c r="I414" i="40"/>
  <c r="I415" i="40"/>
  <c r="I416" i="40"/>
  <c r="I417" i="40"/>
  <c r="I418" i="40"/>
  <c r="I419" i="40"/>
  <c r="I420" i="40"/>
  <c r="I421" i="40"/>
  <c r="I422" i="40"/>
  <c r="I423" i="40"/>
  <c r="I424" i="40"/>
  <c r="I425" i="40"/>
  <c r="I426" i="40"/>
  <c r="I427" i="40"/>
  <c r="I428" i="40"/>
  <c r="I429" i="40"/>
  <c r="I430" i="40"/>
  <c r="I431" i="40"/>
  <c r="I432" i="40"/>
  <c r="I433" i="40"/>
  <c r="I434" i="40"/>
  <c r="I435" i="40"/>
  <c r="I436" i="40"/>
  <c r="I437" i="40"/>
  <c r="I438" i="40"/>
  <c r="I439" i="40"/>
  <c r="I440" i="40"/>
  <c r="I441" i="40"/>
  <c r="I442" i="40"/>
  <c r="I443" i="40"/>
  <c r="I444" i="40"/>
  <c r="I445" i="40"/>
  <c r="I446" i="40"/>
  <c r="I447" i="40"/>
  <c r="I448" i="40"/>
  <c r="I449" i="40"/>
  <c r="I450" i="40"/>
  <c r="I451" i="40"/>
  <c r="I452" i="40"/>
  <c r="I453" i="40"/>
  <c r="I454" i="40"/>
  <c r="I455" i="40"/>
  <c r="I456" i="40"/>
  <c r="I457" i="40"/>
  <c r="I458" i="40"/>
  <c r="I459" i="40"/>
  <c r="I460" i="40"/>
  <c r="I461" i="40"/>
  <c r="I462" i="40"/>
  <c r="I463" i="40"/>
  <c r="I464" i="40"/>
  <c r="I465" i="40"/>
  <c r="I466" i="40"/>
  <c r="I467" i="40"/>
  <c r="I468" i="40"/>
  <c r="I469" i="40"/>
  <c r="I470" i="40"/>
  <c r="I471" i="40"/>
  <c r="I472" i="40"/>
  <c r="I473" i="40"/>
  <c r="I474" i="40"/>
  <c r="I475" i="40"/>
  <c r="I476" i="40"/>
  <c r="I477" i="40"/>
  <c r="I478" i="40"/>
  <c r="I479" i="40"/>
  <c r="I480" i="40"/>
  <c r="I481" i="40"/>
  <c r="I482" i="40"/>
  <c r="I483" i="40"/>
  <c r="I484" i="40"/>
  <c r="I485" i="40"/>
  <c r="I486" i="40"/>
  <c r="I487" i="40"/>
  <c r="I488" i="40"/>
  <c r="I489" i="40"/>
  <c r="I490" i="40"/>
  <c r="I491" i="40"/>
  <c r="I492" i="40"/>
  <c r="I493" i="40"/>
  <c r="I494" i="40"/>
  <c r="I495" i="40"/>
  <c r="I496" i="40"/>
  <c r="I497" i="40"/>
  <c r="I498" i="40"/>
  <c r="I499" i="40"/>
  <c r="I500" i="40"/>
  <c r="I501" i="40"/>
  <c r="I502" i="40"/>
  <c r="I503" i="40"/>
  <c r="I504" i="40"/>
  <c r="I505" i="40"/>
  <c r="I506" i="40"/>
  <c r="I507" i="40"/>
  <c r="I508" i="40"/>
  <c r="I509" i="40"/>
  <c r="I510" i="40"/>
  <c r="I511" i="40"/>
  <c r="I512" i="40"/>
  <c r="I513" i="40"/>
  <c r="I514" i="40"/>
  <c r="I515" i="40"/>
  <c r="I516" i="40"/>
  <c r="I517" i="40"/>
  <c r="I518" i="40"/>
  <c r="I519" i="40"/>
  <c r="I520" i="40"/>
  <c r="I521" i="40"/>
  <c r="I522" i="40"/>
  <c r="I523" i="40"/>
  <c r="I524" i="40"/>
  <c r="I525" i="40"/>
  <c r="I526" i="40"/>
  <c r="I527" i="40"/>
  <c r="I528" i="40"/>
  <c r="I529" i="40"/>
  <c r="I530" i="40"/>
  <c r="I531" i="40"/>
  <c r="I532" i="40"/>
  <c r="I533" i="40"/>
  <c r="I534" i="40"/>
  <c r="I535" i="40"/>
  <c r="I536" i="40"/>
  <c r="I537" i="40"/>
  <c r="I538" i="40"/>
  <c r="I539" i="40"/>
  <c r="I540" i="40"/>
  <c r="I541" i="40"/>
  <c r="I542" i="40"/>
  <c r="I543" i="40"/>
  <c r="I544" i="40"/>
  <c r="I545" i="40"/>
  <c r="I546" i="40"/>
  <c r="I547" i="40"/>
  <c r="I548" i="40"/>
  <c r="I549" i="40"/>
  <c r="I550" i="40"/>
  <c r="I551" i="40"/>
  <c r="I552" i="40"/>
  <c r="I553" i="40"/>
  <c r="I554" i="40"/>
  <c r="I555" i="40"/>
  <c r="I556" i="40"/>
  <c r="I557" i="40"/>
  <c r="I558" i="40"/>
  <c r="I559" i="40"/>
  <c r="I560" i="40"/>
  <c r="I561" i="40"/>
  <c r="I562" i="40"/>
  <c r="I563" i="40"/>
  <c r="I564" i="40"/>
  <c r="I565" i="40"/>
  <c r="I566" i="40"/>
  <c r="I567" i="40"/>
  <c r="I568" i="40"/>
  <c r="I569" i="40"/>
  <c r="I570" i="40"/>
  <c r="I571" i="40"/>
  <c r="I572" i="40"/>
  <c r="I573" i="40"/>
  <c r="I574" i="40"/>
  <c r="I575" i="40"/>
  <c r="I576" i="40"/>
  <c r="I577" i="40"/>
  <c r="I578" i="40"/>
  <c r="I579" i="40"/>
  <c r="I580" i="40"/>
  <c r="I581" i="40"/>
  <c r="I582" i="40"/>
  <c r="I583" i="40"/>
  <c r="I584" i="40"/>
  <c r="I585" i="40"/>
  <c r="I586" i="40"/>
  <c r="I587" i="40"/>
  <c r="I588" i="40"/>
  <c r="I589" i="40"/>
  <c r="I590" i="40"/>
  <c r="I591" i="40"/>
  <c r="I592" i="40"/>
  <c r="I593" i="40"/>
  <c r="I594" i="40"/>
  <c r="I595" i="40"/>
  <c r="I596" i="40"/>
  <c r="I597" i="40"/>
  <c r="I598" i="40"/>
  <c r="I599" i="40"/>
  <c r="I600" i="40"/>
  <c r="I601" i="40"/>
  <c r="I602" i="40"/>
  <c r="I603" i="40"/>
  <c r="I604" i="40"/>
  <c r="I605" i="40"/>
  <c r="I606" i="40"/>
  <c r="I607" i="40"/>
  <c r="I608" i="40"/>
  <c r="I609" i="40"/>
  <c r="I610" i="40"/>
  <c r="I611" i="40"/>
  <c r="I612" i="40"/>
  <c r="I613" i="40"/>
  <c r="I614" i="40"/>
  <c r="I615" i="40"/>
  <c r="I616" i="40"/>
  <c r="I617" i="40"/>
  <c r="I618" i="40"/>
  <c r="I619" i="40"/>
  <c r="I620" i="40"/>
  <c r="I621" i="40"/>
  <c r="I622" i="40"/>
  <c r="I623" i="40"/>
  <c r="I624" i="40"/>
  <c r="I625" i="40"/>
  <c r="I626" i="40"/>
  <c r="I627" i="40"/>
  <c r="I628" i="40"/>
  <c r="I629" i="40"/>
  <c r="I630" i="40"/>
  <c r="I631" i="40"/>
  <c r="I632" i="40"/>
  <c r="I633" i="40"/>
  <c r="I634" i="40"/>
  <c r="I635" i="40"/>
  <c r="I636" i="40"/>
  <c r="I637" i="40"/>
  <c r="I638" i="40"/>
  <c r="I639" i="40"/>
  <c r="I640" i="40"/>
  <c r="I641" i="40"/>
  <c r="I642" i="40"/>
  <c r="I643" i="40"/>
  <c r="I644" i="40"/>
  <c r="I645" i="40"/>
  <c r="I646" i="40"/>
  <c r="I647" i="40"/>
  <c r="I648" i="40"/>
  <c r="I649" i="40"/>
  <c r="I650" i="40"/>
  <c r="I651" i="40"/>
  <c r="I652" i="40"/>
  <c r="I653" i="40"/>
  <c r="I654" i="40"/>
  <c r="I655" i="40"/>
  <c r="I656" i="40"/>
  <c r="I657" i="40"/>
  <c r="I658" i="40"/>
  <c r="I659" i="40"/>
  <c r="I660" i="40"/>
  <c r="I661" i="40"/>
  <c r="I662" i="40"/>
  <c r="I663" i="40"/>
  <c r="I664" i="40"/>
  <c r="I665" i="40"/>
  <c r="I666" i="40"/>
  <c r="I667" i="40"/>
  <c r="I668" i="40"/>
  <c r="I669" i="40"/>
  <c r="I670" i="40"/>
  <c r="I671" i="40"/>
  <c r="I672" i="40"/>
  <c r="I673" i="40"/>
  <c r="I674" i="40"/>
  <c r="I675" i="40"/>
  <c r="I676" i="40"/>
  <c r="I677" i="40"/>
  <c r="I678" i="40"/>
  <c r="I679" i="40"/>
  <c r="I680" i="40"/>
  <c r="I681" i="40"/>
  <c r="I682" i="40"/>
  <c r="I683" i="40"/>
  <c r="I684" i="40"/>
  <c r="I685" i="40"/>
  <c r="I686" i="40"/>
  <c r="I687" i="40"/>
  <c r="I688" i="40"/>
  <c r="I689" i="40"/>
  <c r="I690" i="40"/>
  <c r="I691" i="40"/>
  <c r="I692" i="40"/>
  <c r="I693" i="40"/>
  <c r="I694" i="40"/>
  <c r="I695" i="40"/>
  <c r="I696" i="40"/>
  <c r="I697" i="40"/>
  <c r="I698" i="40"/>
  <c r="I699" i="40"/>
  <c r="I700" i="40"/>
  <c r="I701" i="40"/>
  <c r="I702" i="40"/>
  <c r="I703" i="40"/>
  <c r="I704" i="40"/>
  <c r="I705" i="40"/>
  <c r="I706" i="40"/>
  <c r="I707" i="40"/>
  <c r="I708" i="40"/>
  <c r="I709" i="40"/>
  <c r="I710" i="40"/>
  <c r="I711" i="40"/>
  <c r="I712" i="40"/>
  <c r="I713" i="40"/>
  <c r="I714" i="40"/>
  <c r="I715" i="40"/>
  <c r="I716" i="40"/>
  <c r="I717" i="40"/>
  <c r="I718" i="40"/>
  <c r="I719" i="40"/>
  <c r="I720" i="40"/>
  <c r="I721" i="40"/>
  <c r="I722" i="40"/>
  <c r="I723" i="40"/>
  <c r="I724" i="40"/>
  <c r="I725" i="40"/>
  <c r="I726" i="40"/>
  <c r="I727" i="40"/>
  <c r="I728" i="40"/>
  <c r="I729" i="40"/>
  <c r="I730" i="40"/>
  <c r="I731" i="40"/>
  <c r="I732" i="40"/>
  <c r="I733" i="40"/>
  <c r="I734" i="40"/>
  <c r="I735" i="40"/>
  <c r="I736" i="40"/>
  <c r="I737" i="40"/>
  <c r="I738" i="40"/>
  <c r="I739" i="40"/>
  <c r="I740" i="40"/>
  <c r="I741" i="40"/>
  <c r="I742" i="40"/>
  <c r="I743" i="40"/>
  <c r="I744" i="40"/>
  <c r="I745" i="40"/>
  <c r="I746" i="40"/>
  <c r="I747" i="40"/>
  <c r="I748" i="40"/>
  <c r="I749" i="40"/>
  <c r="I750" i="40"/>
  <c r="I751" i="40"/>
  <c r="I752" i="40"/>
  <c r="I753" i="40"/>
  <c r="I754" i="40"/>
  <c r="I755" i="40"/>
  <c r="I756" i="40"/>
  <c r="I757" i="40"/>
  <c r="I758" i="40"/>
  <c r="I759" i="40"/>
  <c r="I760" i="40"/>
  <c r="I761" i="40"/>
  <c r="I762" i="40"/>
  <c r="I763" i="40"/>
  <c r="I764" i="40"/>
  <c r="I765" i="40"/>
  <c r="I766" i="40"/>
  <c r="I767" i="40"/>
  <c r="I768" i="40"/>
  <c r="I769" i="40"/>
  <c r="I770" i="40"/>
  <c r="I771" i="40"/>
  <c r="I772" i="40"/>
  <c r="I773" i="40"/>
  <c r="I774" i="40"/>
  <c r="I775" i="40"/>
  <c r="I776" i="40"/>
  <c r="I777" i="40"/>
  <c r="I778" i="40"/>
  <c r="I779" i="40"/>
  <c r="I780" i="40"/>
  <c r="I781" i="40"/>
  <c r="I782" i="40"/>
  <c r="I783" i="40"/>
  <c r="I784" i="40"/>
  <c r="I785" i="40"/>
  <c r="I786" i="40"/>
  <c r="I787" i="40"/>
  <c r="I788" i="40"/>
  <c r="I789" i="40"/>
  <c r="I790" i="40"/>
  <c r="I791" i="40"/>
  <c r="I792" i="40"/>
  <c r="I793" i="40"/>
  <c r="I794" i="40"/>
  <c r="I795" i="40"/>
  <c r="I796" i="40"/>
  <c r="I797" i="40"/>
  <c r="I798" i="40"/>
  <c r="I799" i="40"/>
  <c r="I800" i="40"/>
  <c r="I801" i="40"/>
  <c r="I802" i="40"/>
  <c r="I803" i="40"/>
  <c r="I804" i="40"/>
  <c r="I805" i="40"/>
  <c r="I806" i="40"/>
  <c r="I807" i="40"/>
  <c r="I808" i="40"/>
  <c r="I809" i="40"/>
  <c r="I810" i="40"/>
  <c r="I811" i="40"/>
  <c r="I812" i="40"/>
  <c r="I813" i="40"/>
  <c r="I814" i="40"/>
  <c r="I815" i="40"/>
  <c r="I816" i="40"/>
  <c r="I817" i="40"/>
  <c r="I818" i="40"/>
  <c r="I819" i="40"/>
  <c r="I820" i="40"/>
  <c r="I821" i="40"/>
  <c r="I822" i="40"/>
  <c r="I823" i="40"/>
  <c r="I824" i="40"/>
  <c r="I825" i="40"/>
  <c r="I826" i="40"/>
  <c r="I827" i="40"/>
  <c r="I828" i="40"/>
  <c r="I829" i="40"/>
  <c r="I830" i="40"/>
  <c r="I831" i="40"/>
  <c r="I832" i="40"/>
  <c r="I833" i="40"/>
  <c r="I834" i="40"/>
  <c r="I835" i="40"/>
  <c r="I836" i="40"/>
  <c r="I837" i="40"/>
  <c r="I838" i="40"/>
  <c r="I839" i="40"/>
  <c r="I840" i="40"/>
  <c r="I841" i="40"/>
  <c r="I842" i="40"/>
  <c r="I843" i="40"/>
  <c r="I844" i="40"/>
  <c r="I845" i="40"/>
  <c r="I846" i="40"/>
  <c r="I847" i="40"/>
  <c r="I848" i="40"/>
  <c r="I849" i="40"/>
  <c r="I850" i="40"/>
  <c r="I851" i="40"/>
  <c r="I852" i="40"/>
  <c r="I853" i="40"/>
  <c r="I854" i="40"/>
  <c r="I855" i="40"/>
  <c r="I856" i="40"/>
  <c r="I857" i="40"/>
  <c r="I858" i="40"/>
  <c r="I859" i="40"/>
  <c r="I860" i="40"/>
  <c r="I861" i="40"/>
  <c r="I862" i="40"/>
  <c r="I863" i="40"/>
  <c r="I864" i="40"/>
  <c r="I865" i="40"/>
  <c r="I866" i="40"/>
  <c r="I867" i="40"/>
  <c r="I868" i="40"/>
  <c r="I869" i="40"/>
  <c r="I870" i="40"/>
  <c r="I871" i="40"/>
  <c r="I872" i="40"/>
  <c r="I873" i="40"/>
  <c r="I874" i="40"/>
  <c r="I875" i="40"/>
  <c r="I876" i="40"/>
  <c r="I877" i="40"/>
  <c r="I878" i="40"/>
  <c r="I879" i="40"/>
  <c r="I880" i="40"/>
  <c r="I881" i="40"/>
  <c r="I882" i="40"/>
  <c r="I883" i="40"/>
  <c r="I884" i="40"/>
  <c r="I885" i="40"/>
  <c r="I886" i="40"/>
  <c r="I887" i="40"/>
  <c r="I888" i="40"/>
  <c r="I889" i="40"/>
  <c r="I890" i="40"/>
  <c r="I891" i="40"/>
  <c r="I892" i="40"/>
  <c r="I893" i="40"/>
  <c r="I894" i="40"/>
  <c r="I895" i="40"/>
  <c r="I896" i="40"/>
  <c r="I897" i="40"/>
  <c r="I898" i="40"/>
  <c r="I899" i="40"/>
  <c r="I900" i="40"/>
  <c r="I901" i="40"/>
  <c r="I902" i="40"/>
  <c r="I903" i="40"/>
  <c r="I904" i="40"/>
  <c r="I905" i="40"/>
  <c r="I906" i="40"/>
  <c r="I907" i="40"/>
  <c r="I908" i="40"/>
  <c r="I909" i="40"/>
  <c r="I910" i="40"/>
  <c r="I911" i="40"/>
  <c r="I912" i="40"/>
  <c r="I913" i="40"/>
  <c r="I914" i="40"/>
  <c r="I915" i="40"/>
  <c r="I916" i="40"/>
  <c r="I917" i="40"/>
  <c r="I918" i="40"/>
  <c r="I919" i="40"/>
  <c r="I920" i="40"/>
  <c r="I921" i="40"/>
  <c r="I922" i="40"/>
  <c r="I923" i="40"/>
  <c r="I924" i="40"/>
  <c r="I925" i="40"/>
  <c r="I926" i="40"/>
  <c r="I927" i="40"/>
  <c r="I928" i="40"/>
  <c r="I929" i="40"/>
  <c r="I930" i="40"/>
  <c r="I931" i="40"/>
  <c r="I932" i="40"/>
  <c r="I933" i="40"/>
  <c r="I934" i="40"/>
  <c r="I935" i="40"/>
  <c r="I936" i="40"/>
  <c r="I937" i="40"/>
  <c r="I938" i="40"/>
  <c r="I939" i="40"/>
  <c r="I940" i="40"/>
  <c r="I941" i="40"/>
  <c r="I942" i="40"/>
  <c r="I943" i="40"/>
  <c r="I944" i="40"/>
  <c r="I945" i="40"/>
  <c r="I946" i="40"/>
  <c r="I947" i="40"/>
  <c r="I948" i="40"/>
  <c r="I949" i="40"/>
  <c r="I950" i="40"/>
  <c r="I951" i="40"/>
  <c r="I952" i="40"/>
  <c r="I953" i="40"/>
  <c r="I954" i="40"/>
  <c r="I955" i="40"/>
  <c r="I956" i="40"/>
  <c r="I957" i="40"/>
  <c r="I958" i="40"/>
  <c r="I959" i="40"/>
  <c r="I960" i="40"/>
  <c r="I961" i="40"/>
  <c r="I962" i="40"/>
  <c r="I963" i="40"/>
  <c r="I964" i="40"/>
  <c r="I965" i="40"/>
  <c r="I966" i="40"/>
  <c r="I967" i="40"/>
  <c r="I968" i="40"/>
  <c r="I969" i="40"/>
  <c r="I970" i="40"/>
  <c r="I971" i="40"/>
  <c r="I972" i="40"/>
  <c r="I973" i="40"/>
  <c r="I974" i="40"/>
  <c r="I975" i="40"/>
  <c r="I976" i="40"/>
  <c r="I977" i="40"/>
  <c r="I978" i="40"/>
  <c r="I979" i="40"/>
  <c r="I980" i="40"/>
  <c r="I981" i="40"/>
  <c r="I982" i="40"/>
  <c r="I983" i="40"/>
  <c r="I984" i="40"/>
  <c r="I985" i="40"/>
  <c r="I986" i="40"/>
  <c r="I987" i="40"/>
  <c r="I988" i="40"/>
  <c r="I989" i="40"/>
  <c r="I990" i="40"/>
  <c r="I991" i="40"/>
  <c r="I992" i="40"/>
  <c r="I993" i="40"/>
  <c r="I994" i="40"/>
  <c r="I995" i="40"/>
  <c r="I996" i="40"/>
  <c r="I997" i="40"/>
  <c r="I998" i="40"/>
  <c r="I999" i="40"/>
  <c r="I1000" i="40"/>
  <c r="I1001" i="40"/>
  <c r="I1002" i="40"/>
  <c r="I1003" i="40"/>
  <c r="I1004" i="40"/>
  <c r="I1005" i="40"/>
  <c r="I1006" i="40"/>
  <c r="I1007" i="40"/>
  <c r="I1008" i="40"/>
  <c r="I1009" i="40"/>
  <c r="I1010" i="40"/>
  <c r="I1011" i="40"/>
  <c r="I1012" i="40"/>
  <c r="I1013" i="40"/>
  <c r="I1014" i="40"/>
  <c r="I1015" i="40"/>
  <c r="I1016" i="40"/>
  <c r="I1017" i="40"/>
  <c r="I1018" i="40"/>
  <c r="I1019" i="40"/>
  <c r="I1020" i="40"/>
  <c r="I1021" i="40"/>
  <c r="I1022" i="40"/>
  <c r="I1023" i="40"/>
  <c r="I1024" i="40"/>
  <c r="I1025" i="40"/>
  <c r="I1026" i="40"/>
  <c r="I1027" i="40"/>
  <c r="I1028" i="40"/>
  <c r="I1029" i="40"/>
  <c r="I1030" i="40"/>
  <c r="I1031" i="40"/>
  <c r="I1032" i="40"/>
  <c r="I1033" i="40"/>
  <c r="I1034" i="40"/>
  <c r="I1035" i="40"/>
  <c r="I1036" i="40"/>
  <c r="I1037" i="40"/>
  <c r="I1038" i="40"/>
  <c r="I1039" i="40"/>
  <c r="I1040" i="40"/>
  <c r="I1041" i="40"/>
  <c r="I1042" i="40"/>
  <c r="I1043" i="40"/>
  <c r="I1044" i="40"/>
  <c r="I1045" i="40"/>
  <c r="I1046" i="40"/>
  <c r="I1047" i="40"/>
  <c r="I1048" i="40"/>
  <c r="I1049" i="40"/>
  <c r="I1050" i="40"/>
  <c r="I1051" i="40"/>
  <c r="I1052" i="40"/>
  <c r="I1053" i="40"/>
  <c r="I1054" i="40"/>
  <c r="I1055" i="40"/>
  <c r="I1056" i="40"/>
  <c r="I1057" i="40"/>
  <c r="I1058" i="40"/>
  <c r="I1059" i="40"/>
  <c r="I1060" i="40"/>
  <c r="I1061" i="40"/>
  <c r="I1062" i="40"/>
  <c r="I1063" i="40"/>
  <c r="I1064" i="40"/>
  <c r="I1065" i="40"/>
  <c r="I1066" i="40"/>
  <c r="I1067" i="40"/>
  <c r="I1068" i="40"/>
  <c r="I1069" i="40"/>
  <c r="I1070" i="40"/>
  <c r="I1071" i="40"/>
  <c r="I1072" i="40"/>
  <c r="I1073" i="40"/>
  <c r="I1074" i="40"/>
  <c r="I1075" i="40"/>
  <c r="I1076" i="40"/>
  <c r="I1077" i="40"/>
  <c r="I1078" i="40"/>
  <c r="I1079" i="40"/>
  <c r="I1080" i="40"/>
  <c r="I1081" i="40"/>
  <c r="I1082" i="40"/>
  <c r="I1083" i="40"/>
  <c r="I1084" i="40"/>
  <c r="I1085" i="40"/>
  <c r="I1086" i="40"/>
  <c r="I1087" i="40"/>
  <c r="I1088" i="40"/>
  <c r="I1089" i="40"/>
  <c r="I1090" i="40"/>
  <c r="I1091" i="40"/>
  <c r="I1092" i="40"/>
  <c r="I1093" i="40"/>
  <c r="I1094" i="40"/>
  <c r="I1095" i="40"/>
  <c r="I1096" i="40"/>
  <c r="I1097" i="40"/>
  <c r="I1098" i="40"/>
  <c r="I1099" i="40"/>
  <c r="I1100" i="40"/>
  <c r="I1101" i="40"/>
  <c r="I1102" i="40"/>
  <c r="I1103" i="40"/>
  <c r="I1104" i="40"/>
  <c r="I1105" i="40"/>
  <c r="I1106" i="40"/>
  <c r="I1107" i="40"/>
  <c r="I1108" i="40"/>
  <c r="I1109" i="40"/>
  <c r="I1110" i="40"/>
  <c r="I1111" i="40"/>
  <c r="I1112" i="40"/>
  <c r="I1113" i="40"/>
  <c r="I1114" i="40"/>
  <c r="I1115" i="40"/>
  <c r="I1116" i="40"/>
  <c r="I1117" i="40"/>
  <c r="I1118" i="40"/>
  <c r="I1119" i="40"/>
  <c r="I1120" i="40"/>
  <c r="I1121" i="40"/>
  <c r="I1122" i="40"/>
  <c r="I1123" i="40"/>
  <c r="I1124" i="40"/>
  <c r="I1125" i="40"/>
  <c r="I1126" i="40"/>
  <c r="I1127" i="40"/>
  <c r="I1128" i="40"/>
  <c r="I1129" i="40"/>
  <c r="I1130" i="40"/>
  <c r="I1131" i="40"/>
  <c r="I1132" i="40"/>
  <c r="I1133" i="40"/>
  <c r="I1134" i="40"/>
  <c r="I1135" i="40"/>
  <c r="I1136" i="40"/>
  <c r="I1137" i="40"/>
  <c r="I1138" i="40"/>
  <c r="I1139" i="40"/>
  <c r="I1140" i="40"/>
  <c r="I1141" i="40"/>
  <c r="I1142" i="40"/>
  <c r="I1143" i="40"/>
  <c r="I1144" i="40"/>
  <c r="I1145" i="40"/>
  <c r="I1146" i="40"/>
  <c r="I1147" i="40"/>
  <c r="I1148" i="40"/>
  <c r="I1149" i="40"/>
  <c r="I1150" i="40"/>
  <c r="I1151" i="40"/>
  <c r="I1152" i="40"/>
  <c r="I1153" i="40"/>
  <c r="I1154" i="40"/>
  <c r="I1155" i="40"/>
  <c r="I1156" i="40"/>
  <c r="I1157" i="40"/>
  <c r="I1158" i="40"/>
  <c r="I1159" i="40"/>
  <c r="I1160" i="40"/>
  <c r="I1161" i="40"/>
  <c r="I1162" i="40"/>
  <c r="I1163" i="40"/>
  <c r="I1164" i="40"/>
  <c r="I1165" i="40"/>
  <c r="I1166" i="40"/>
  <c r="I1167" i="40"/>
  <c r="I1168" i="40"/>
  <c r="I1169" i="40"/>
  <c r="I1170" i="40"/>
  <c r="I1171" i="40"/>
  <c r="I1172" i="40"/>
  <c r="I1173" i="40"/>
  <c r="I1174" i="40"/>
  <c r="I1175" i="40"/>
  <c r="I1176" i="40"/>
  <c r="I1177" i="40"/>
  <c r="I1178" i="40"/>
  <c r="I1179" i="40"/>
  <c r="I1180" i="40"/>
  <c r="I1181" i="40"/>
  <c r="I1182" i="40"/>
  <c r="I1183" i="40"/>
  <c r="I1184" i="40"/>
  <c r="I1185" i="40"/>
  <c r="I1186" i="40"/>
  <c r="I1187" i="40"/>
  <c r="I1188" i="40"/>
  <c r="I1189" i="40"/>
  <c r="I1190" i="40"/>
  <c r="I1191" i="40"/>
  <c r="I1192" i="40"/>
  <c r="I1193" i="40"/>
  <c r="I1194" i="40"/>
  <c r="I1195" i="40"/>
  <c r="I1196" i="40"/>
  <c r="I1197" i="40"/>
  <c r="I1198" i="40"/>
  <c r="I1199" i="40"/>
  <c r="I1200" i="40"/>
  <c r="I1201" i="40"/>
  <c r="I1202" i="40"/>
  <c r="I1203" i="40"/>
  <c r="I1204" i="40"/>
  <c r="I1205" i="40"/>
  <c r="I1206" i="40"/>
  <c r="I1207" i="40"/>
  <c r="I1208" i="40"/>
  <c r="I1209" i="40"/>
  <c r="I1210" i="40"/>
  <c r="I1211" i="40"/>
  <c r="I1212" i="40"/>
  <c r="I1213" i="40"/>
  <c r="I1214" i="40"/>
  <c r="I1215" i="40"/>
  <c r="I1216" i="40"/>
  <c r="I1217" i="40"/>
  <c r="I1218" i="40"/>
  <c r="I1219" i="40"/>
  <c r="I1220" i="40"/>
  <c r="I1221" i="40"/>
  <c r="I1222" i="40"/>
  <c r="I1223" i="40"/>
  <c r="I1224" i="40"/>
  <c r="I1225" i="40"/>
  <c r="I1226" i="40"/>
  <c r="I1227" i="40"/>
  <c r="I1228" i="40"/>
  <c r="I1229" i="40"/>
  <c r="I1230" i="40"/>
  <c r="I1231" i="40"/>
  <c r="I1232" i="40"/>
  <c r="I1233" i="40"/>
  <c r="I1234" i="40"/>
  <c r="I1235" i="40"/>
  <c r="I1236" i="40"/>
  <c r="I1237" i="40"/>
  <c r="I1238" i="40"/>
  <c r="I1239" i="40"/>
  <c r="I1240" i="40"/>
  <c r="I1241" i="40"/>
  <c r="I1242" i="40"/>
  <c r="I1243" i="40"/>
  <c r="I1244" i="40"/>
  <c r="I1245" i="40"/>
  <c r="I1246" i="40"/>
  <c r="I1247" i="40"/>
  <c r="I1248" i="40"/>
  <c r="I1249" i="40"/>
  <c r="I1250" i="40"/>
  <c r="I1251" i="40"/>
  <c r="I1252" i="40"/>
  <c r="I1253" i="40"/>
  <c r="I1254" i="40"/>
  <c r="I1255" i="40"/>
  <c r="I1256" i="40"/>
  <c r="I1257" i="40"/>
  <c r="I1258" i="40"/>
  <c r="I1259" i="40"/>
  <c r="I1260" i="40"/>
  <c r="I1261" i="40"/>
  <c r="I1262" i="40"/>
  <c r="I1263" i="40"/>
  <c r="I1264" i="40"/>
  <c r="I1265" i="40"/>
  <c r="I1266" i="40"/>
  <c r="I1267" i="40"/>
  <c r="I1268" i="40"/>
  <c r="I1269" i="40"/>
  <c r="I1270" i="40"/>
  <c r="I1271" i="40"/>
  <c r="I1272" i="40"/>
  <c r="I1273" i="40"/>
  <c r="I1274" i="40"/>
  <c r="I1275" i="40"/>
  <c r="I1276" i="40"/>
  <c r="I1277" i="40"/>
  <c r="I1278" i="40"/>
  <c r="I1279" i="40"/>
  <c r="I1280" i="40"/>
  <c r="I1281" i="40"/>
  <c r="I1282" i="40"/>
  <c r="I1283" i="40"/>
  <c r="I1284" i="40"/>
  <c r="I1285" i="40"/>
  <c r="I1286" i="40"/>
  <c r="I1287" i="40"/>
  <c r="I1288" i="40"/>
  <c r="I1289" i="40"/>
  <c r="I1290" i="40"/>
  <c r="I1291" i="40"/>
  <c r="I1292" i="40"/>
  <c r="I1293" i="40"/>
  <c r="I1294" i="40"/>
  <c r="I1295" i="40"/>
  <c r="I1296" i="40"/>
  <c r="I1297" i="40"/>
  <c r="I1298" i="40"/>
  <c r="I1299" i="40"/>
  <c r="I1300" i="40"/>
  <c r="I1301" i="40"/>
  <c r="I1302" i="40"/>
  <c r="I1303" i="40"/>
  <c r="I1304" i="40"/>
  <c r="I1305" i="40"/>
  <c r="I1306" i="40"/>
  <c r="I1307" i="40"/>
  <c r="I1308" i="40"/>
  <c r="I1309" i="40"/>
  <c r="I1310" i="40"/>
  <c r="I1311" i="40"/>
  <c r="I1312" i="40"/>
  <c r="I1313" i="40"/>
  <c r="I1314" i="40"/>
  <c r="I1315" i="40"/>
  <c r="I1316" i="40"/>
  <c r="I1317" i="40"/>
  <c r="I1318" i="40"/>
  <c r="I1319" i="40"/>
  <c r="I1320" i="40"/>
  <c r="I1321" i="40"/>
  <c r="I1322" i="40"/>
  <c r="I1323" i="40"/>
  <c r="I1324" i="40"/>
  <c r="I1325" i="40"/>
  <c r="I1326" i="40"/>
  <c r="I1327" i="40"/>
  <c r="I1328" i="40"/>
  <c r="I1329" i="40"/>
  <c r="I1330" i="40"/>
  <c r="I1331" i="40"/>
  <c r="I1332" i="40"/>
  <c r="I1333" i="40"/>
  <c r="I1334" i="40"/>
  <c r="I1335" i="40"/>
  <c r="I1336" i="40"/>
  <c r="I1337" i="40"/>
  <c r="I1338" i="40"/>
  <c r="I1339" i="40"/>
  <c r="I1340" i="40"/>
  <c r="I1341" i="40"/>
  <c r="I1342" i="40"/>
  <c r="I1343" i="40"/>
  <c r="I1344" i="40"/>
  <c r="I1345" i="40"/>
  <c r="I1346" i="40"/>
  <c r="I1347" i="40"/>
  <c r="I1348" i="40"/>
  <c r="I1349" i="40"/>
  <c r="I1350" i="40"/>
  <c r="I1351" i="40"/>
  <c r="I1352" i="40"/>
  <c r="I1353" i="40"/>
  <c r="I1354" i="40"/>
  <c r="I1355" i="40"/>
  <c r="I1356" i="40"/>
  <c r="I1357" i="40"/>
  <c r="I1358" i="40"/>
  <c r="I1359" i="40"/>
  <c r="I1360" i="40"/>
  <c r="I1361" i="40"/>
  <c r="I1362" i="40"/>
  <c r="I1363" i="40"/>
  <c r="I1364" i="40"/>
  <c r="I1365" i="40"/>
  <c r="I1366" i="40"/>
  <c r="I1367" i="40"/>
  <c r="I1368" i="40"/>
  <c r="I1369" i="40"/>
  <c r="I1370" i="40"/>
  <c r="I1371" i="40"/>
  <c r="I1372" i="40"/>
  <c r="I1373" i="40"/>
  <c r="I1374" i="40"/>
  <c r="I1375" i="40"/>
  <c r="I1376" i="40"/>
  <c r="I1377" i="40"/>
  <c r="I1378" i="40"/>
  <c r="I1379" i="40"/>
  <c r="I1380" i="40"/>
  <c r="I1381" i="40"/>
  <c r="I1382" i="40"/>
  <c r="I1383" i="40"/>
  <c r="I1384" i="40"/>
  <c r="I1385" i="40"/>
  <c r="I1386" i="40"/>
  <c r="I1387" i="40"/>
  <c r="I1388" i="40"/>
  <c r="I1389" i="40"/>
  <c r="I1390" i="40"/>
  <c r="I1391" i="40"/>
  <c r="I1392" i="40"/>
  <c r="I1393" i="40"/>
  <c r="I1394" i="40"/>
  <c r="I1395" i="40"/>
  <c r="I1396" i="40"/>
  <c r="I1397" i="40"/>
  <c r="I1398" i="40"/>
  <c r="I1399" i="40"/>
  <c r="I1400" i="40"/>
  <c r="I1401" i="40"/>
  <c r="I1402" i="40"/>
  <c r="I1403" i="40"/>
  <c r="I1404" i="40"/>
  <c r="I1405" i="40"/>
  <c r="I1406" i="40"/>
  <c r="I1407" i="40"/>
  <c r="I1408" i="40"/>
  <c r="I1409" i="40"/>
  <c r="I1410" i="40"/>
  <c r="I1411" i="40"/>
  <c r="I1412" i="40"/>
  <c r="I1413" i="40"/>
  <c r="I1414" i="40"/>
  <c r="I1415" i="40"/>
  <c r="I1416" i="40"/>
  <c r="I1417" i="40"/>
  <c r="I1418" i="40"/>
  <c r="I1419" i="40"/>
  <c r="I1420" i="40"/>
  <c r="I1421" i="40"/>
  <c r="I1422" i="40"/>
  <c r="I1423" i="40"/>
  <c r="I1424" i="40"/>
  <c r="I1425" i="40"/>
  <c r="I1426" i="40"/>
  <c r="I1427" i="40"/>
  <c r="I1428" i="40"/>
  <c r="I1429" i="40"/>
  <c r="I1430" i="40"/>
  <c r="I1431" i="40"/>
  <c r="I1432" i="40"/>
  <c r="I1433" i="40"/>
  <c r="I1434" i="40"/>
  <c r="I1435" i="40"/>
  <c r="I1436" i="40"/>
  <c r="I1437" i="40"/>
  <c r="I1438" i="40"/>
  <c r="I1439" i="40"/>
  <c r="I1440" i="40"/>
  <c r="I2" i="40"/>
  <c r="I309" i="38"/>
  <c r="I289" i="38"/>
  <c r="I269" i="38"/>
  <c r="I254" i="38"/>
  <c r="I235" i="38"/>
  <c r="I217" i="38"/>
  <c r="I198" i="38"/>
  <c r="I184" i="38"/>
  <c r="I172" i="38"/>
  <c r="I147" i="38"/>
  <c r="I119" i="38"/>
  <c r="I78" i="38"/>
  <c r="I49" i="38"/>
  <c r="I21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3" i="38"/>
  <c r="I174" i="38"/>
  <c r="I175" i="38"/>
  <c r="I176" i="38"/>
  <c r="I177" i="38"/>
  <c r="I178" i="38"/>
  <c r="I179" i="38"/>
  <c r="I180" i="38"/>
  <c r="I181" i="38"/>
  <c r="I182" i="38"/>
  <c r="I183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2" i="38"/>
  <c r="I23" i="38"/>
  <c r="I2" i="38"/>
  <c r="AJ3" i="41"/>
</calcChain>
</file>

<file path=xl/sharedStrings.xml><?xml version="1.0" encoding="utf-8"?>
<sst xmlns="http://schemas.openxmlformats.org/spreadsheetml/2006/main" count="13552" uniqueCount="407">
  <si>
    <t>Brazilian Electric Ray</t>
  </si>
  <si>
    <t>Dastyis guttata</t>
  </si>
  <si>
    <t>Gymnura micrura</t>
  </si>
  <si>
    <t>Ophichtus gomesi</t>
  </si>
  <si>
    <t>Catfish</t>
  </si>
  <si>
    <t>Bagre bagre</t>
  </si>
  <si>
    <t>Symphurus plagusia</t>
  </si>
  <si>
    <t>Achirus achirus</t>
  </si>
  <si>
    <t>Drab Sole</t>
  </si>
  <si>
    <t>Acha hepsetus</t>
  </si>
  <si>
    <t>Sea Donkey</t>
  </si>
  <si>
    <t xml:space="preserve">Centropomus pectinatus </t>
  </si>
  <si>
    <t>Pacu</t>
  </si>
  <si>
    <t>Harengula jaguana</t>
  </si>
  <si>
    <t>Herring</t>
  </si>
  <si>
    <t>Nebris microps</t>
  </si>
  <si>
    <t>Butterfish</t>
  </si>
  <si>
    <t>Larimus breviceps</t>
  </si>
  <si>
    <t>Genyatremus leteus</t>
  </si>
  <si>
    <t>Isopisthus  parvipinnis</t>
  </si>
  <si>
    <t>Short Fin Corvina</t>
  </si>
  <si>
    <t>Stellifer microps</t>
  </si>
  <si>
    <t>Menticirrhus americanus</t>
  </si>
  <si>
    <t>Sphorades testudineus</t>
  </si>
  <si>
    <t>Green Puffer</t>
  </si>
  <si>
    <t>Laligo laligo</t>
  </si>
  <si>
    <t>Squid Laligo</t>
  </si>
  <si>
    <t>Penaeus  notialis</t>
  </si>
  <si>
    <t>White Prawns</t>
  </si>
  <si>
    <t>Brown Prawns</t>
  </si>
  <si>
    <t>Mithrax  spinosissimis</t>
  </si>
  <si>
    <t>Channel Clinging Crab</t>
  </si>
  <si>
    <t>Shrimp Eel</t>
  </si>
  <si>
    <t>Spring Cuirass</t>
  </si>
  <si>
    <t>Silver Snapper</t>
  </si>
  <si>
    <t>Bangamary</t>
  </si>
  <si>
    <t>Aridae (G) arius</t>
  </si>
  <si>
    <t>Tongue fish</t>
  </si>
  <si>
    <t>Banded Puffer</t>
  </si>
  <si>
    <t>Colomesus psittacus</t>
  </si>
  <si>
    <t>Macrodon ancylodon</t>
  </si>
  <si>
    <t>Chaetodipterus faber</t>
  </si>
  <si>
    <t>Paralonchurus  elegans</t>
  </si>
  <si>
    <t>Cynoscion virescens</t>
  </si>
  <si>
    <t>Negli</t>
  </si>
  <si>
    <t>Conodon nobilis</t>
  </si>
  <si>
    <t>Grunt</t>
  </si>
  <si>
    <t>Etropus crossotus</t>
  </si>
  <si>
    <t>Trinectes paulistanus</t>
  </si>
  <si>
    <t>Polydactylus virginicus</t>
  </si>
  <si>
    <t>Trichiurus lepturus</t>
  </si>
  <si>
    <t>Stellifer lanceolatus</t>
  </si>
  <si>
    <t xml:space="preserve">Drum </t>
  </si>
  <si>
    <t>River Pellona</t>
  </si>
  <si>
    <t>Arius proops</t>
  </si>
  <si>
    <t>Cuirass</t>
  </si>
  <si>
    <t>Silverbelt</t>
  </si>
  <si>
    <t>Seatrout</t>
  </si>
  <si>
    <t>Stellifer rastrifer</t>
  </si>
  <si>
    <t>Rockhead</t>
  </si>
  <si>
    <t>Deep water drum</t>
  </si>
  <si>
    <t>Sciaena bathytatos</t>
  </si>
  <si>
    <t>Moonfish</t>
  </si>
  <si>
    <t>Selene browni</t>
  </si>
  <si>
    <t>Citharichthys spilopterus</t>
  </si>
  <si>
    <t>Bay Whiff</t>
  </si>
  <si>
    <t>Off Georgetown</t>
  </si>
  <si>
    <t>World Friend 101</t>
  </si>
  <si>
    <t>M. Sampson</t>
  </si>
  <si>
    <t>Salomon</t>
  </si>
  <si>
    <t>Mr. Alvin Allick</t>
  </si>
  <si>
    <t>Zones; 3 &amp; 4</t>
  </si>
  <si>
    <t>Tongue Fish</t>
  </si>
  <si>
    <t>Falcon</t>
  </si>
  <si>
    <t>Giorgio Singh</t>
  </si>
  <si>
    <t>Off Pomeroon</t>
  </si>
  <si>
    <t>26/11/2015</t>
  </si>
  <si>
    <t>Urotrygon microphthalmum</t>
  </si>
  <si>
    <t>Smalleyed round stingray</t>
  </si>
  <si>
    <t>Longtail Sole</t>
  </si>
  <si>
    <t>Apionichthys dumerili</t>
  </si>
  <si>
    <t>Annafolk</t>
  </si>
  <si>
    <t>Least puffer</t>
  </si>
  <si>
    <t>Sphoeroides parvus</t>
  </si>
  <si>
    <t>Ctenosciaena gracilicirrhus</t>
  </si>
  <si>
    <t>Squilla mantis</t>
  </si>
  <si>
    <t>Mantis Shrimp</t>
  </si>
  <si>
    <t>Spiky Puffer</t>
  </si>
  <si>
    <t>Diodon holacanthus</t>
  </si>
  <si>
    <t>Kukwari</t>
  </si>
  <si>
    <t>Choy Jason</t>
  </si>
  <si>
    <t>Zone 6</t>
  </si>
  <si>
    <t>Ray Adams</t>
  </si>
  <si>
    <t>18/1/2016</t>
  </si>
  <si>
    <t>Maria YM 83</t>
  </si>
  <si>
    <t>Roy Singh</t>
  </si>
  <si>
    <t>Zone 3</t>
  </si>
  <si>
    <t>Maria YM 70</t>
  </si>
  <si>
    <t>Gobin Samaru</t>
  </si>
  <si>
    <t>Rhinoptera bonasus</t>
  </si>
  <si>
    <t>Cownose Ray</t>
  </si>
  <si>
    <t>Divinity</t>
  </si>
  <si>
    <t>Terrence Gomes</t>
  </si>
  <si>
    <t>Wapisiana</t>
  </si>
  <si>
    <t>Gonzales</t>
  </si>
  <si>
    <t>Cat Shark</t>
  </si>
  <si>
    <t>Banko</t>
  </si>
  <si>
    <t>Pamaroon</t>
  </si>
  <si>
    <t>Pagi</t>
  </si>
  <si>
    <t>Bashaw</t>
  </si>
  <si>
    <t>Hammer Head Shrak</t>
  </si>
  <si>
    <t>Micropogonias furnieri</t>
  </si>
  <si>
    <t>Thursday June 30,2016</t>
  </si>
  <si>
    <t>Cavalli</t>
  </si>
  <si>
    <t>Tony</t>
  </si>
  <si>
    <t>Specule Anchovy</t>
  </si>
  <si>
    <t>Anchoa spinifer</t>
  </si>
  <si>
    <t>Lobotes surinamensis</t>
  </si>
  <si>
    <t>Carank hippos</t>
  </si>
  <si>
    <t>Selene Vomer</t>
  </si>
  <si>
    <t>Lookdown</t>
  </si>
  <si>
    <t>Anchoa mitchilli</t>
  </si>
  <si>
    <t>Pellona harroweri</t>
  </si>
  <si>
    <t>Southern Kingcroaker</t>
  </si>
  <si>
    <t>Sphyrindae</t>
  </si>
  <si>
    <t>Pellona flavipinnis</t>
  </si>
  <si>
    <t>Chinese Butterfish</t>
  </si>
  <si>
    <t>Pseuduchenipterus nodosus</t>
  </si>
  <si>
    <t>Sweetman</t>
  </si>
  <si>
    <t>Dasyatis geijskesi</t>
  </si>
  <si>
    <t>Liberty</t>
  </si>
  <si>
    <t>Banga Mary</t>
  </si>
  <si>
    <t>West Berbice</t>
  </si>
  <si>
    <t>Olivia</t>
  </si>
  <si>
    <t>Marlon Samson</t>
  </si>
  <si>
    <t>Berbice, Off Georgetown, Pomeroon</t>
  </si>
  <si>
    <t>com</t>
  </si>
  <si>
    <t>ves</t>
  </si>
  <si>
    <t>cap</t>
  </si>
  <si>
    <t>obs</t>
  </si>
  <si>
    <t>dep</t>
  </si>
  <si>
    <t>arr</t>
  </si>
  <si>
    <t>area</t>
  </si>
  <si>
    <t>depth</t>
  </si>
  <si>
    <t>drag.srt</t>
  </si>
  <si>
    <t>drag.stp</t>
  </si>
  <si>
    <t>trip</t>
  </si>
  <si>
    <t>ent</t>
  </si>
  <si>
    <t>ent.dat</t>
  </si>
  <si>
    <t>ent.by</t>
  </si>
  <si>
    <t>sci</t>
  </si>
  <si>
    <t>wt.landed</t>
  </si>
  <si>
    <t>meaning</t>
  </si>
  <si>
    <t>company</t>
  </si>
  <si>
    <t>vessel</t>
  </si>
  <si>
    <t>captain</t>
  </si>
  <si>
    <t>observer</t>
  </si>
  <si>
    <t>departure</t>
  </si>
  <si>
    <t>arrival</t>
  </si>
  <si>
    <t>area fished</t>
  </si>
  <si>
    <t>depth fished (ftm)</t>
  </si>
  <si>
    <t>time drag started</t>
  </si>
  <si>
    <t>time drag ended</t>
  </si>
  <si>
    <t>entered</t>
  </si>
  <si>
    <t>date</t>
  </si>
  <si>
    <t>by</t>
  </si>
  <si>
    <t>code.name</t>
  </si>
  <si>
    <t>sheet</t>
  </si>
  <si>
    <t>trips.des</t>
  </si>
  <si>
    <t>pritipaul singh investemnt</t>
  </si>
  <si>
    <t>noble house seafoods</t>
  </si>
  <si>
    <t xml:space="preserve">bev processors </t>
  </si>
  <si>
    <t>guyana investment inc</t>
  </si>
  <si>
    <t>com1</t>
  </si>
  <si>
    <t>com2</t>
  </si>
  <si>
    <t>com3</t>
  </si>
  <si>
    <t>com4</t>
  </si>
  <si>
    <t>seion richardson</t>
  </si>
  <si>
    <t>desha husbands</t>
  </si>
  <si>
    <t>olanna bachus</t>
  </si>
  <si>
    <t>kadeem jacobs</t>
  </si>
  <si>
    <t>devon reece</t>
  </si>
  <si>
    <t xml:space="preserve">terrence browne </t>
  </si>
  <si>
    <t>sr</t>
  </si>
  <si>
    <t>dh</t>
  </si>
  <si>
    <t>ob</t>
  </si>
  <si>
    <t>kj</t>
  </si>
  <si>
    <t>dr</t>
  </si>
  <si>
    <t>tb</t>
  </si>
  <si>
    <t>sr, dh</t>
  </si>
  <si>
    <t>lt.landed</t>
  </si>
  <si>
    <t>trip.no</t>
  </si>
  <si>
    <t>trip.date</t>
  </si>
  <si>
    <t>trip number</t>
  </si>
  <si>
    <t>trip date</t>
  </si>
  <si>
    <t xml:space="preserve">off georgetown </t>
  </si>
  <si>
    <t>year</t>
  </si>
  <si>
    <t>Lookup table</t>
  </si>
  <si>
    <t>copied from transposed tidy1</t>
  </si>
  <si>
    <t>Vlookup (sceintific names from tidy1)</t>
  </si>
  <si>
    <t>Multiple find and replace (VB vode)</t>
  </si>
  <si>
    <t>Transpose results(don’t alter)</t>
  </si>
  <si>
    <t>Species(alter)</t>
  </si>
  <si>
    <t>Lengths(alter)</t>
  </si>
  <si>
    <t>Step 2</t>
  </si>
  <si>
    <t>Step 3</t>
  </si>
  <si>
    <t>Species lookup(alter)</t>
  </si>
  <si>
    <t>Common</t>
  </si>
  <si>
    <t>Scientific</t>
  </si>
  <si>
    <t xml:space="preserve">Step 1 </t>
  </si>
  <si>
    <t>data collectors</t>
  </si>
  <si>
    <t>sr, ob</t>
  </si>
  <si>
    <t>sr, sh</t>
  </si>
  <si>
    <t>kj, ob, sr</t>
  </si>
  <si>
    <t>ob, st, kj, dh</t>
  </si>
  <si>
    <t>Broad Striped Anchovy</t>
  </si>
  <si>
    <t>concatanate</t>
  </si>
  <si>
    <t>Slipper sole</t>
  </si>
  <si>
    <t>Fringed flounder</t>
  </si>
  <si>
    <t>Penaeus brazillensis</t>
  </si>
  <si>
    <t>Bagre bagreCatfish</t>
  </si>
  <si>
    <t>Aridae (G) ariusSpring Cuirass</t>
  </si>
  <si>
    <t>Symphurus plagusiaTongue fish</t>
  </si>
  <si>
    <t>Achirus achirusDrab Sole</t>
  </si>
  <si>
    <t>Acha hepsetusBroad Striped Anchovy</t>
  </si>
  <si>
    <t>Chaetodipterus faberSea Donkey</t>
  </si>
  <si>
    <t>Harengula jaguanaHerring</t>
  </si>
  <si>
    <t>Nebris micropsButterfish</t>
  </si>
  <si>
    <t>Larimus brevicepsSilver Snapper</t>
  </si>
  <si>
    <t>Macrodon ancylodonBangamary</t>
  </si>
  <si>
    <t>Genyatremus leteusAnnafolk</t>
  </si>
  <si>
    <t>Isopisthus  parvipinnisShort Fin Corvina</t>
  </si>
  <si>
    <t>Stellifer micropsRockhead</t>
  </si>
  <si>
    <t>Menticirrhus americanusSouthern Kingcroaker</t>
  </si>
  <si>
    <t>Sphorades testudineusGreen Puffer</t>
  </si>
  <si>
    <t>Colomesus psittacusBanded Puffer</t>
  </si>
  <si>
    <t>Laligo laligoSquid Laligo</t>
  </si>
  <si>
    <t>Ophichtus gomesiShrimp Eel</t>
  </si>
  <si>
    <t>Penaeus  notialisWhite Prawns</t>
  </si>
  <si>
    <t>Penaeus brazillensisBrown Prawns</t>
  </si>
  <si>
    <t>Mithrax  spinosissimisChannel Clinging Crab</t>
  </si>
  <si>
    <t>Trinectes paulistanusSlipper sole</t>
  </si>
  <si>
    <t>Etropus crossotusFringed flounder</t>
  </si>
  <si>
    <t xml:space="preserve">Stellifer lanceolatusDrum </t>
  </si>
  <si>
    <t>Paralonchurus  elegansChinese Butterfish</t>
  </si>
  <si>
    <t>Cynoscion virescensSeatrout</t>
  </si>
  <si>
    <t>Trichiurus lepturusSilverbelt</t>
  </si>
  <si>
    <t>Conodon nobilisGrunt</t>
  </si>
  <si>
    <t>Arius proopsCuirass</t>
  </si>
  <si>
    <t>Citharichthys spilopterusBay Whiff</t>
  </si>
  <si>
    <t>Selene browniMoonfish</t>
  </si>
  <si>
    <t>Anchoa mitchilliNegli</t>
  </si>
  <si>
    <t>Pellona flavipinnisRiver Pellona</t>
  </si>
  <si>
    <t>Sciaena bathytatosDeep water drum</t>
  </si>
  <si>
    <t>Symphurus plagusiaTongue Fish</t>
  </si>
  <si>
    <t>Squilla mantisMantis Shrimp</t>
  </si>
  <si>
    <t>Anchoa spiniferSpecule Anchovy</t>
  </si>
  <si>
    <t>Pellona harroweriRiver Pellona</t>
  </si>
  <si>
    <t>Urotrygon microphthalmumSmalleyed round stingray</t>
  </si>
  <si>
    <t>Apionichthys dumeriliLongtail Sole</t>
  </si>
  <si>
    <t>Ctenosciaena gracilicirrhusRockhead</t>
  </si>
  <si>
    <t>Sphoeroides parvusLeast puffer</t>
  </si>
  <si>
    <t>Diodon holacanthusSpiky Puffer</t>
  </si>
  <si>
    <t>Lobotes surinamensisPagi</t>
  </si>
  <si>
    <t>Rhinoptera bonasusCownose Ray</t>
  </si>
  <si>
    <t>Micropogonias furnieriBashaw</t>
  </si>
  <si>
    <t>SphyrindaeHammer Head Shrak</t>
  </si>
  <si>
    <t>Carank hipposCavalli</t>
  </si>
  <si>
    <t>Stellifer rastriferRockhead</t>
  </si>
  <si>
    <t>Selene VomerLookdown</t>
  </si>
  <si>
    <t>Pseuduchenipterus nodosusSweetman</t>
  </si>
  <si>
    <t>Weight</t>
  </si>
  <si>
    <t>Length</t>
  </si>
  <si>
    <t>M/V Sugam 32</t>
  </si>
  <si>
    <t>Anant Ram Sooknanan</t>
  </si>
  <si>
    <t>07.00 - 57.49 (Off Georgetown)</t>
  </si>
  <si>
    <t>Xiphopenaeus kroyeri</t>
  </si>
  <si>
    <t>Seabob</t>
  </si>
  <si>
    <t>Nematopalaemon schmitti</t>
  </si>
  <si>
    <t>Mantis shrimp</t>
  </si>
  <si>
    <t>Anchoviella lepidentosole</t>
  </si>
  <si>
    <t>Chloroscombrus chrysurus</t>
  </si>
  <si>
    <t>Chinese snook</t>
  </si>
  <si>
    <t>Paralonchurus braziliensis</t>
  </si>
  <si>
    <t>Banded croaker</t>
  </si>
  <si>
    <t>Silver snapper</t>
  </si>
  <si>
    <t>Croaker (RM)</t>
  </si>
  <si>
    <t>Specule anchovy</t>
  </si>
  <si>
    <t>Banded puffer</t>
  </si>
  <si>
    <t>Drab sole</t>
  </si>
  <si>
    <t>Longtail sole</t>
  </si>
  <si>
    <t>Longnose stingray</t>
  </si>
  <si>
    <t>Dorado</t>
  </si>
  <si>
    <t>Ishwar N. Denanath</t>
  </si>
  <si>
    <t>07°04'48.00" N,057°53'13.20" W to 07°03'03.60" N,057°51'36.00" W</t>
  </si>
  <si>
    <t>Persephona lichtensteinii</t>
  </si>
  <si>
    <t>Siri ball</t>
  </si>
  <si>
    <t>Callinectes ornatus</t>
  </si>
  <si>
    <t>Sheriga crab</t>
  </si>
  <si>
    <t>Hepatus gronovii</t>
  </si>
  <si>
    <t>Box crab</t>
  </si>
  <si>
    <t>Broad striped anchovy</t>
  </si>
  <si>
    <t>Amphiarius rugispinis</t>
  </si>
  <si>
    <t>Softhead sea catfish</t>
  </si>
  <si>
    <t>Rypticus maculatus</t>
  </si>
  <si>
    <t>Whitespotted soapfish</t>
  </si>
  <si>
    <t>Sharpsnout stingray</t>
  </si>
  <si>
    <t>Butterfly stingray</t>
  </si>
  <si>
    <t>Shrimp eel</t>
  </si>
  <si>
    <t>Cynoponticus savanna</t>
  </si>
  <si>
    <t>Guyana pike-conger</t>
  </si>
  <si>
    <t>Miss Lina</t>
  </si>
  <si>
    <t>Mr. Lewis</t>
  </si>
  <si>
    <t xml:space="preserve">Off Georgetown </t>
  </si>
  <si>
    <t>20:40hrs</t>
  </si>
  <si>
    <t>22:30hrs</t>
  </si>
  <si>
    <t xml:space="preserve">Cuirass </t>
  </si>
  <si>
    <t>MV Celsa</t>
  </si>
  <si>
    <t>Rajesh T. Small</t>
  </si>
  <si>
    <t>Berbice (Last drag: East of Georgetown Mahaica)</t>
  </si>
  <si>
    <t xml:space="preserve">Angel Eyes </t>
  </si>
  <si>
    <t xml:space="preserve">Chidanand Persaud </t>
  </si>
  <si>
    <t>7°40'55.2" N to 58°28'55.2" W</t>
  </si>
  <si>
    <t xml:space="preserve">07:00hrs </t>
  </si>
  <si>
    <t>10:23hrs</t>
  </si>
  <si>
    <t>Calappa sulcata</t>
  </si>
  <si>
    <t>GulfSun 84</t>
  </si>
  <si>
    <t>C. Dehal</t>
  </si>
  <si>
    <t>S7-49 Off G/Town</t>
  </si>
  <si>
    <t>7:30pm</t>
  </si>
  <si>
    <t>11 ;30pm</t>
  </si>
  <si>
    <t>Snook</t>
  </si>
  <si>
    <t>Gyrmnothorax ocellatus</t>
  </si>
  <si>
    <t xml:space="preserve">Esperanza 111
</t>
  </si>
  <si>
    <t>Dexter Hunte</t>
  </si>
  <si>
    <t>Sunset</t>
  </si>
  <si>
    <t xml:space="preserve">Robert Sanichar </t>
  </si>
  <si>
    <t>7°20'16.8" N - 58°12'28.8" W</t>
  </si>
  <si>
    <t>Centropomus undecimalis</t>
  </si>
  <si>
    <t>M/V OLIVIA</t>
  </si>
  <si>
    <t>Marlon Sampson</t>
  </si>
  <si>
    <t>Yutaka Maru 80</t>
  </si>
  <si>
    <t>Tony Mohammed</t>
  </si>
  <si>
    <t>Pomeroon</t>
  </si>
  <si>
    <t>Atlantic bumber</t>
  </si>
  <si>
    <t>Yellow box crab</t>
  </si>
  <si>
    <t xml:space="preserve">Sea Donkey </t>
  </si>
  <si>
    <t>type</t>
  </si>
  <si>
    <t>discards</t>
  </si>
  <si>
    <t xml:space="preserve">bycatch </t>
  </si>
  <si>
    <t>Batrachoides  surinamensis</t>
  </si>
  <si>
    <t>Sawtooth moray</t>
  </si>
  <si>
    <t>Narcine brasiliensis</t>
  </si>
  <si>
    <t>Whitebelly shrimp</t>
  </si>
  <si>
    <t>Beard fish</t>
  </si>
  <si>
    <t>Pseduobatos percellens</t>
  </si>
  <si>
    <t>Chola guitarfish</t>
  </si>
  <si>
    <t>Narcine brasiliensisBrazilian Electric Ray</t>
  </si>
  <si>
    <t>Dastyis guttataLongnose stingray</t>
  </si>
  <si>
    <t>Pseduobatos percellensChola guitarfish</t>
  </si>
  <si>
    <t>Gymnura micruraButterfly stingray</t>
  </si>
  <si>
    <t>Centropomus pectinatus Chinese snook</t>
  </si>
  <si>
    <t>Batrachoides  surinamensisPacu</t>
  </si>
  <si>
    <t>Paralonchurus braziliensisBanded croaker</t>
  </si>
  <si>
    <t>Polydactylus virginicusBeard fish</t>
  </si>
  <si>
    <t>Dasyatis geijskesiSharpsnout stingray</t>
  </si>
  <si>
    <t>Chloroscombrus chrysurusAtlantic bumber</t>
  </si>
  <si>
    <t>Xiphopenaeus kroyeriSeabob</t>
  </si>
  <si>
    <t>Nematopalaemon schmittiWhitebelly shrimp</t>
  </si>
  <si>
    <t>Anchoviella lepidentosoleBroad striped anchovy</t>
  </si>
  <si>
    <t>Persephona lichtensteiniiSiri ball</t>
  </si>
  <si>
    <t>Callinectes ornatusSheriga crab</t>
  </si>
  <si>
    <t>Hepatus gronoviiBox crab</t>
  </si>
  <si>
    <t>Amphiarius rugispinisSofthead sea catfish</t>
  </si>
  <si>
    <t>Rypticus maculatusWhitespotted soapfish</t>
  </si>
  <si>
    <t>Cynoponticus savannaGuyana pike-conger</t>
  </si>
  <si>
    <t xml:space="preserve">Arius proopsCuirass </t>
  </si>
  <si>
    <t>Calappa sulcataYellow box crab</t>
  </si>
  <si>
    <t xml:space="preserve">Chaetodipterus faberSea Donkey </t>
  </si>
  <si>
    <t>Gyrmnothorax ocellatusSawtooth moray</t>
  </si>
  <si>
    <t>Centropomus undecimalisSnook</t>
  </si>
  <si>
    <t>jd</t>
  </si>
  <si>
    <t>cd</t>
  </si>
  <si>
    <t>0b</t>
  </si>
  <si>
    <t>tb,cd,kj,sr</t>
  </si>
  <si>
    <t>tb,cd,kj,jd,sr</t>
  </si>
  <si>
    <t>dh,dr,jd,ob</t>
  </si>
  <si>
    <t>ob,jd,kj,tb</t>
  </si>
  <si>
    <t>dh,dr,tb,sh</t>
  </si>
  <si>
    <t>dh,dr,tb,kj,ob</t>
  </si>
  <si>
    <t>NOTES</t>
  </si>
  <si>
    <t>1. Fishes not identified to the species level were omitted e.g. sharks, crabs, squids</t>
  </si>
  <si>
    <t>2. One trip could not be used (Nov 30th 2016) due to the absence of individual species weights.</t>
  </si>
  <si>
    <t xml:space="preserve">3. Observations with stellifer microps and rastifer in single entries were treated as microps as the former is believed to be most abundant. </t>
  </si>
  <si>
    <t xml:space="preserve">Vlookup Table </t>
  </si>
  <si>
    <t>mon</t>
  </si>
  <si>
    <t>Typhoon</t>
  </si>
  <si>
    <t>YM80</t>
  </si>
  <si>
    <t>Stephanie</t>
  </si>
  <si>
    <t>Mario ZO</t>
  </si>
  <si>
    <t xml:space="preserve">Miss Maya </t>
  </si>
  <si>
    <t>Salmon</t>
  </si>
  <si>
    <t>Trade Wing</t>
  </si>
  <si>
    <t>Sunrise</t>
  </si>
  <si>
    <t>Kirk 2</t>
  </si>
  <si>
    <t>Croaker (LM)</t>
  </si>
  <si>
    <t>Cat fish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</si>
</sst>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4" fontId="0" fillId="0" borderId="0" xfId="0" applyNumberFormat="1"/>
    <xf numFmtId="164" fontId="0" fillId="0" borderId="0" xfId="1" applyFont="1"/>
    <xf numFmtId="0" fontId="0" fillId="0" borderId="1" xfId="0" applyBorder="1"/>
    <xf numFmtId="164" fontId="1" fillId="0" borderId="0" xfId="1" applyFont="1"/>
    <xf numFmtId="0" fontId="0" fillId="2" borderId="0" xfId="0" applyFill="1"/>
    <xf numFmtId="1" fontId="0" fillId="0" borderId="0" xfId="1" applyNumberFormat="1" applyFont="1" applyAlignment="1">
      <alignment horizontal="center"/>
    </xf>
    <xf numFmtId="0" fontId="0" fillId="3" borderId="0" xfId="0" applyFill="1" applyBorder="1"/>
    <xf numFmtId="14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0" fillId="3" borderId="6" xfId="0" applyFill="1" applyBorder="1" applyAlignment="1">
      <alignment horizontal="left"/>
    </xf>
    <xf numFmtId="14" fontId="0" fillId="3" borderId="6" xfId="0" applyNumberForma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14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165" fontId="0" fillId="3" borderId="6" xfId="0" applyNumberForma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14" fontId="0" fillId="3" borderId="8" xfId="0" applyNumberFormat="1" applyFill="1" applyBorder="1" applyAlignment="1">
      <alignment horizontal="left"/>
    </xf>
    <xf numFmtId="0" fontId="1" fillId="3" borderId="9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164" fontId="0" fillId="0" borderId="0" xfId="1" applyNumberFormat="1" applyFont="1"/>
    <xf numFmtId="0" fontId="1" fillId="3" borderId="10" xfId="0" applyFont="1" applyFill="1" applyBorder="1" applyAlignment="1">
      <alignment horizontal="left" vertical="center"/>
    </xf>
    <xf numFmtId="0" fontId="0" fillId="4" borderId="8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14" fontId="0" fillId="4" borderId="6" xfId="0" applyNumberFormat="1" applyFill="1" applyBorder="1" applyAlignment="1">
      <alignment horizontal="left"/>
    </xf>
    <xf numFmtId="165" fontId="0" fillId="4" borderId="6" xfId="0" applyNumberFormat="1" applyFill="1" applyBorder="1" applyAlignment="1">
      <alignment horizontal="left"/>
    </xf>
    <xf numFmtId="14" fontId="0" fillId="4" borderId="0" xfId="0" applyNumberForma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165" fontId="0" fillId="4" borderId="0" xfId="0" applyNumberFormat="1" applyFill="1" applyBorder="1" applyAlignment="1">
      <alignment horizontal="left"/>
    </xf>
    <xf numFmtId="0" fontId="0" fillId="3" borderId="0" xfId="0" applyFill="1"/>
    <xf numFmtId="0" fontId="3" fillId="3" borderId="0" xfId="0" applyFont="1" applyFill="1" applyBorder="1"/>
    <xf numFmtId="1" fontId="0" fillId="3" borderId="8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0" fontId="4" fillId="4" borderId="6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st.haul.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iesID"/>
      <sheetName val="Trip #1"/>
      <sheetName val="Trip #2"/>
      <sheetName val="Trip #3"/>
      <sheetName val="Species List "/>
      <sheetName val="Species Catalogue"/>
      <sheetName val="Validation"/>
      <sheetName val="Trip #4"/>
      <sheetName val="Trip #5"/>
      <sheetName val="Trip #6"/>
      <sheetName val="Trip #7"/>
      <sheetName val="Trip #8"/>
      <sheetName val="Trip #9"/>
      <sheetName val="Trip #10"/>
      <sheetName val="Trip #11"/>
      <sheetName val="Trip #12"/>
      <sheetName val="Trip #13"/>
      <sheetName val="Percentage"/>
      <sheetName val="last.haul.2018"/>
    </sheetNames>
    <sheetDataSet>
      <sheetData sheetId="0">
        <row r="3">
          <cell r="A3" t="str">
            <v>Scaled_herring_Harengula_jaguana</v>
          </cell>
        </row>
      </sheetData>
      <sheetData sheetId="1"/>
      <sheetData sheetId="2"/>
      <sheetData sheetId="3"/>
      <sheetData sheetId="4" refreshError="1"/>
      <sheetData sheetId="5">
        <row r="4">
          <cell r="D4" t="str">
            <v>Annafolk_Genyatremus_leteus</v>
          </cell>
        </row>
        <row r="5">
          <cell r="D5" t="str">
            <v>Atlantic_bumper_Chloroscumbrus_chrysurus</v>
          </cell>
        </row>
        <row r="6">
          <cell r="D6" t="str">
            <v>Banded_croaker_Paralonchurus_braziliensis</v>
          </cell>
        </row>
        <row r="7">
          <cell r="D7" t="str">
            <v>Banded_puffer_Colomesus_psittacus</v>
          </cell>
        </row>
        <row r="8">
          <cell r="D8" t="str">
            <v>Bangamary_Macrodon_ancylodon</v>
          </cell>
        </row>
        <row r="9">
          <cell r="D9" t="str">
            <v>Barba_Polydactylus_virginicus</v>
          </cell>
        </row>
        <row r="10">
          <cell r="D10" t="str">
            <v>Bashaw_Micropogonias_furnieri</v>
          </cell>
        </row>
        <row r="11">
          <cell r="D11" t="str">
            <v>Bay_whiff_Citharichthys_spilopterus</v>
          </cell>
        </row>
        <row r="12">
          <cell r="D12" t="str">
            <v>Boxcrab_Hepatus_gronovii</v>
          </cell>
        </row>
        <row r="13">
          <cell r="D13" t="str">
            <v>Brazilian_electric_ray_Narcine_brasiliensis</v>
          </cell>
        </row>
        <row r="14">
          <cell r="D14" t="str">
            <v>Broad_Striped_Anchovy_Anchovella_lepidentosole</v>
          </cell>
        </row>
        <row r="15">
          <cell r="D15" t="str">
            <v>Butterfish_Nebris_microps</v>
          </cell>
        </row>
        <row r="16">
          <cell r="D16" t="str">
            <v>Butterfly_stingray_Gymnura_micrura</v>
          </cell>
        </row>
        <row r="17">
          <cell r="D17" t="str">
            <v>Catfish_Bagre_bagre</v>
          </cell>
        </row>
        <row r="18">
          <cell r="D18" t="str">
            <v>Cavalli_Carank_hippos</v>
          </cell>
        </row>
        <row r="19">
          <cell r="D19" t="str">
            <v>Chinese_butterfish_Paralonchurus_elegans</v>
          </cell>
        </row>
        <row r="20">
          <cell r="D20" t="str">
            <v>Chinese_snook_Centropomus_pectinatus</v>
          </cell>
        </row>
        <row r="21">
          <cell r="D21" t="str">
            <v>Chola_guitarfish_Rhinobatus_percellens</v>
          </cell>
        </row>
        <row r="22">
          <cell r="D22" t="str">
            <v>Cownose_stingray_Rhinoptera_bonasus</v>
          </cell>
        </row>
        <row r="23">
          <cell r="D23" t="str">
            <v>Croaker_lm_Stellifer_microps</v>
          </cell>
        </row>
        <row r="24">
          <cell r="D24" t="str">
            <v>Croaker_rm_Stellifer_rastrifer</v>
          </cell>
        </row>
        <row r="25">
          <cell r="D25" t="str">
            <v>Cuirass_Arius_proops</v>
          </cell>
        </row>
        <row r="26">
          <cell r="D26" t="str">
            <v>Deep_water_drum_Sciaena_bathytatos</v>
          </cell>
        </row>
        <row r="27">
          <cell r="D27" t="str">
            <v>Drab_sole_Achirus_achirus</v>
          </cell>
        </row>
        <row r="28">
          <cell r="D28" t="str">
            <v>Green_puffer_Sphorades_testudineus</v>
          </cell>
        </row>
        <row r="29">
          <cell r="D29" t="str">
            <v>Grunt_Conodon_nobilis</v>
          </cell>
        </row>
        <row r="30">
          <cell r="D30" t="str">
            <v>Guyanapikeconger_Cynoponticus_savanna</v>
          </cell>
        </row>
        <row r="31">
          <cell r="D31" t="str">
            <v>Least_puffer_Sphoeroides_parvus</v>
          </cell>
        </row>
        <row r="32">
          <cell r="D32" t="str">
            <v>Longnoze_stingray_Dastyis_guttata</v>
          </cell>
        </row>
        <row r="33">
          <cell r="D33" t="str">
            <v>Longtail_sole_Apionichthys_dumerili</v>
          </cell>
        </row>
        <row r="34">
          <cell r="D34" t="str">
            <v>Lookdown_Selene_vomer</v>
          </cell>
        </row>
        <row r="35">
          <cell r="D35" t="str">
            <v>Mantis_shrimp_Squilla_mantis</v>
          </cell>
        </row>
        <row r="36">
          <cell r="D36" t="str">
            <v>Moonfish_Selene_browni</v>
          </cell>
        </row>
        <row r="37">
          <cell r="D37" t="str">
            <v>Negli_Anchoa_mitchilli</v>
          </cell>
        </row>
        <row r="38">
          <cell r="D38" t="str">
            <v>Pacu_Batrachoides_surinamensis</v>
          </cell>
        </row>
        <row r="39">
          <cell r="D39" t="str">
            <v>Pagi_Lobotes_surinamensis</v>
          </cell>
        </row>
        <row r="40">
          <cell r="D40" t="str">
            <v>River_pellona_Pellona_flavipinnis</v>
          </cell>
        </row>
        <row r="41">
          <cell r="D41" t="str">
            <v>Scaled_herring_Harengula_jaguana</v>
          </cell>
        </row>
        <row r="42">
          <cell r="D42" t="str">
            <v>Seabob_Xiphopenaeus_kroyeri</v>
          </cell>
        </row>
        <row r="43">
          <cell r="D43" t="str">
            <v>Seadonkey_Chaetodipterus_faber</v>
          </cell>
        </row>
        <row r="44">
          <cell r="D44" t="str">
            <v>Seapansy_Renilla_muelleri</v>
          </cell>
        </row>
        <row r="45">
          <cell r="D45" t="str">
            <v>Seatrout_Cynoscion_virescens</v>
          </cell>
        </row>
        <row r="46">
          <cell r="D46" t="str">
            <v>Sharpsnout_stingray_Dasyatis_geijkesi</v>
          </cell>
        </row>
        <row r="47">
          <cell r="D47" t="str">
            <v>Sherigacrab_Callinectes_ornatus</v>
          </cell>
        </row>
        <row r="48">
          <cell r="D48" t="str">
            <v>Shrimp_eel_Ophichtus_gomesi</v>
          </cell>
        </row>
        <row r="49">
          <cell r="D49" t="str">
            <v>Silver_snapper_Larimus_breviceps</v>
          </cell>
        </row>
        <row r="50">
          <cell r="D50" t="str">
            <v>Silverbelt_Trichiurus_lepturus</v>
          </cell>
        </row>
        <row r="51">
          <cell r="D51" t="str">
            <v>Siriball_Persephona_lichtensteinii</v>
          </cell>
        </row>
        <row r="52">
          <cell r="D52" t="str">
            <v>Smalleyed_round_stingray_Urotrygon_microphthalmum</v>
          </cell>
        </row>
        <row r="53">
          <cell r="D53" t="str">
            <v>Snook_Centropomus_undecimalis</v>
          </cell>
        </row>
        <row r="54">
          <cell r="D54" t="str">
            <v>Softhead_seacatfish_Amphiarius_rugispinis</v>
          </cell>
        </row>
        <row r="55">
          <cell r="D55" t="str">
            <v>Southern_kingcroaker_Menticirrhus_americanus</v>
          </cell>
        </row>
        <row r="56">
          <cell r="D56" t="str">
            <v>Specule_anchovy_Anchoa_spinifer</v>
          </cell>
        </row>
        <row r="57">
          <cell r="D57" t="str">
            <v>Spiky_puffer_Diodon_holacanthus</v>
          </cell>
        </row>
        <row r="58">
          <cell r="D58" t="str">
            <v>Sweetman_Pseuduchenipterus_nodosus</v>
          </cell>
        </row>
        <row r="59">
          <cell r="D59" t="str">
            <v>Tongue_fish_Symphurus_plagusia</v>
          </cell>
        </row>
        <row r="60">
          <cell r="D60" t="str">
            <v>Fringed_flounder_Etropus_crossotus</v>
          </cell>
        </row>
        <row r="61">
          <cell r="D61" t="str">
            <v>Whitebelly_shrimp_Nematopalaemon_schmitti</v>
          </cell>
        </row>
        <row r="62">
          <cell r="D62" t="str">
            <v>Whitespotted_soapfish_Rypticus_maculatus</v>
          </cell>
        </row>
      </sheetData>
      <sheetData sheetId="6">
        <row r="3">
          <cell r="B3" t="str">
            <v>GII</v>
          </cell>
        </row>
        <row r="4">
          <cell r="B4" t="str">
            <v>BEV</v>
          </cell>
        </row>
        <row r="5">
          <cell r="B5" t="str">
            <v>NHS</v>
          </cell>
        </row>
        <row r="6">
          <cell r="B6" t="str">
            <v>PSI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DD33F-7325-4FB4-B21C-E81941BF07B6}">
  <sheetPr codeName="Sheet2"/>
  <dimension ref="A1:I26"/>
  <sheetViews>
    <sheetView topLeftCell="A16" workbookViewId="0">
      <selection activeCell="A34" sqref="A34"/>
    </sheetView>
  </sheetViews>
  <sheetFormatPr defaultRowHeight="14.5" x14ac:dyDescent="0.35"/>
  <cols>
    <col min="2" max="2" width="17.6328125" customWidth="1"/>
    <col min="3" max="3" width="24.54296875" bestFit="1" customWidth="1"/>
    <col min="8" max="9" width="9.453125" bestFit="1" customWidth="1"/>
  </cols>
  <sheetData>
    <row r="1" spans="1:9" x14ac:dyDescent="0.35">
      <c r="A1" s="1" t="s">
        <v>167</v>
      </c>
      <c r="B1" s="1" t="s">
        <v>166</v>
      </c>
      <c r="C1" s="1" t="s">
        <v>152</v>
      </c>
    </row>
    <row r="2" spans="1:9" x14ac:dyDescent="0.35">
      <c r="A2" t="s">
        <v>168</v>
      </c>
      <c r="B2" t="s">
        <v>191</v>
      </c>
      <c r="C2" t="s">
        <v>193</v>
      </c>
    </row>
    <row r="3" spans="1:9" x14ac:dyDescent="0.35">
      <c r="A3" t="s">
        <v>168</v>
      </c>
      <c r="B3" t="s">
        <v>192</v>
      </c>
      <c r="C3" t="s">
        <v>194</v>
      </c>
    </row>
    <row r="4" spans="1:9" x14ac:dyDescent="0.35">
      <c r="A4" t="s">
        <v>168</v>
      </c>
      <c r="B4" t="s">
        <v>136</v>
      </c>
      <c r="C4" t="s">
        <v>153</v>
      </c>
    </row>
    <row r="5" spans="1:9" x14ac:dyDescent="0.35">
      <c r="A5" t="s">
        <v>168</v>
      </c>
      <c r="B5" t="s">
        <v>137</v>
      </c>
      <c r="C5" t="s">
        <v>154</v>
      </c>
      <c r="H5" s="3"/>
      <c r="I5" s="3"/>
    </row>
    <row r="6" spans="1:9" x14ac:dyDescent="0.35">
      <c r="A6" t="s">
        <v>168</v>
      </c>
      <c r="B6" t="s">
        <v>138</v>
      </c>
      <c r="C6" t="s">
        <v>155</v>
      </c>
    </row>
    <row r="7" spans="1:9" x14ac:dyDescent="0.35">
      <c r="A7" t="s">
        <v>168</v>
      </c>
      <c r="B7" t="s">
        <v>139</v>
      </c>
      <c r="C7" t="s">
        <v>156</v>
      </c>
    </row>
    <row r="8" spans="1:9" x14ac:dyDescent="0.35">
      <c r="A8" t="s">
        <v>168</v>
      </c>
      <c r="B8" t="s">
        <v>140</v>
      </c>
      <c r="C8" t="s">
        <v>157</v>
      </c>
    </row>
    <row r="9" spans="1:9" x14ac:dyDescent="0.35">
      <c r="A9" t="s">
        <v>168</v>
      </c>
      <c r="B9" t="s">
        <v>141</v>
      </c>
      <c r="C9" t="s">
        <v>158</v>
      </c>
    </row>
    <row r="10" spans="1:9" x14ac:dyDescent="0.35">
      <c r="A10" t="s">
        <v>168</v>
      </c>
      <c r="B10" t="s">
        <v>142</v>
      </c>
      <c r="C10" t="s">
        <v>159</v>
      </c>
    </row>
    <row r="11" spans="1:9" x14ac:dyDescent="0.35">
      <c r="A11" t="s">
        <v>168</v>
      </c>
      <c r="B11" t="s">
        <v>143</v>
      </c>
      <c r="C11" t="s">
        <v>160</v>
      </c>
    </row>
    <row r="12" spans="1:9" x14ac:dyDescent="0.35">
      <c r="A12" t="s">
        <v>168</v>
      </c>
      <c r="B12" t="s">
        <v>144</v>
      </c>
      <c r="C12" t="s">
        <v>161</v>
      </c>
    </row>
    <row r="13" spans="1:9" x14ac:dyDescent="0.35">
      <c r="A13" t="s">
        <v>168</v>
      </c>
      <c r="B13" t="s">
        <v>145</v>
      </c>
      <c r="C13" t="s">
        <v>162</v>
      </c>
    </row>
    <row r="14" spans="1:9" x14ac:dyDescent="0.35">
      <c r="A14" t="s">
        <v>168</v>
      </c>
      <c r="B14" t="s">
        <v>147</v>
      </c>
      <c r="C14" t="s">
        <v>163</v>
      </c>
    </row>
    <row r="15" spans="1:9" x14ac:dyDescent="0.35">
      <c r="A15" t="s">
        <v>168</v>
      </c>
      <c r="B15" t="s">
        <v>148</v>
      </c>
      <c r="C15" t="s">
        <v>164</v>
      </c>
    </row>
    <row r="16" spans="1:9" x14ac:dyDescent="0.35">
      <c r="A16" t="s">
        <v>168</v>
      </c>
      <c r="B16" t="s">
        <v>149</v>
      </c>
      <c r="C16" t="s">
        <v>165</v>
      </c>
    </row>
    <row r="17" spans="1:3" x14ac:dyDescent="0.35">
      <c r="A17" t="s">
        <v>168</v>
      </c>
      <c r="B17" t="s">
        <v>173</v>
      </c>
      <c r="C17" t="s">
        <v>169</v>
      </c>
    </row>
    <row r="18" spans="1:3" x14ac:dyDescent="0.35">
      <c r="A18" t="s">
        <v>168</v>
      </c>
      <c r="B18" t="s">
        <v>174</v>
      </c>
      <c r="C18" t="s">
        <v>170</v>
      </c>
    </row>
    <row r="19" spans="1:3" x14ac:dyDescent="0.35">
      <c r="A19" t="s">
        <v>168</v>
      </c>
      <c r="B19" t="s">
        <v>175</v>
      </c>
      <c r="C19" t="s">
        <v>171</v>
      </c>
    </row>
    <row r="20" spans="1:3" x14ac:dyDescent="0.35">
      <c r="A20" t="s">
        <v>168</v>
      </c>
      <c r="B20" t="s">
        <v>176</v>
      </c>
      <c r="C20" t="s">
        <v>172</v>
      </c>
    </row>
    <row r="21" spans="1:3" x14ac:dyDescent="0.35">
      <c r="A21" t="s">
        <v>168</v>
      </c>
      <c r="B21" t="s">
        <v>177</v>
      </c>
      <c r="C21" t="s">
        <v>183</v>
      </c>
    </row>
    <row r="22" spans="1:3" x14ac:dyDescent="0.35">
      <c r="A22" t="s">
        <v>168</v>
      </c>
      <c r="B22" t="s">
        <v>178</v>
      </c>
      <c r="C22" t="s">
        <v>184</v>
      </c>
    </row>
    <row r="23" spans="1:3" x14ac:dyDescent="0.35">
      <c r="A23" t="s">
        <v>168</v>
      </c>
      <c r="B23" t="s">
        <v>179</v>
      </c>
      <c r="C23" t="s">
        <v>185</v>
      </c>
    </row>
    <row r="24" spans="1:3" x14ac:dyDescent="0.35">
      <c r="A24" t="s">
        <v>168</v>
      </c>
      <c r="B24" t="s">
        <v>180</v>
      </c>
      <c r="C24" t="s">
        <v>186</v>
      </c>
    </row>
    <row r="25" spans="1:3" x14ac:dyDescent="0.35">
      <c r="A25" t="s">
        <v>168</v>
      </c>
      <c r="B25" t="s">
        <v>181</v>
      </c>
      <c r="C25" t="s">
        <v>187</v>
      </c>
    </row>
    <row r="26" spans="1:3" x14ac:dyDescent="0.35">
      <c r="A26" t="s">
        <v>168</v>
      </c>
      <c r="B26" t="s">
        <v>182</v>
      </c>
      <c r="C26" t="s">
        <v>188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6392F-833C-4AAF-828D-AAD44E231845}">
  <sheetPr codeName="Sheet3"/>
  <dimension ref="A1:Q82"/>
  <sheetViews>
    <sheetView zoomScaleNormal="100" workbookViewId="0">
      <pane ySplit="1" topLeftCell="A20" activePane="bottomLeft" state="frozen"/>
      <selection pane="bottomLeft" activeCell="M26" sqref="M26"/>
    </sheetView>
  </sheetViews>
  <sheetFormatPr defaultRowHeight="14.5" x14ac:dyDescent="0.35"/>
  <cols>
    <col min="1" max="1" width="6.6328125" style="9" bestFit="1" customWidth="1"/>
    <col min="2" max="2" width="9.36328125" style="9" bestFit="1" customWidth="1"/>
    <col min="3" max="3" width="9.36328125" style="9" hidden="1" customWidth="1"/>
    <col min="4" max="4" width="11.453125" style="9" hidden="1" customWidth="1"/>
    <col min="5" max="5" width="9.453125" style="9" hidden="1" customWidth="1"/>
    <col min="6" max="6" width="16.453125" style="9" hidden="1" customWidth="1"/>
    <col min="7" max="7" width="17.54296875" style="9" hidden="1" customWidth="1"/>
    <col min="8" max="8" width="16.453125" style="9" customWidth="1"/>
    <col min="9" max="9" width="10.6328125" style="9" bestFit="1" customWidth="1"/>
    <col min="10" max="10" width="10.453125" style="9" customWidth="1"/>
    <col min="11" max="11" width="37.1796875" style="9" bestFit="1" customWidth="1"/>
    <col min="12" max="12" width="6" style="9" bestFit="1" customWidth="1"/>
    <col min="13" max="14" width="11.26953125" style="9" bestFit="1" customWidth="1"/>
    <col min="15" max="15" width="13.36328125" style="9" bestFit="1" customWidth="1"/>
    <col min="16" max="16" width="19.90625" style="9" bestFit="1" customWidth="1"/>
    <col min="17" max="17" width="6.36328125" style="9" bestFit="1" customWidth="1"/>
    <col min="18" max="16384" width="8.7265625" style="9"/>
  </cols>
  <sheetData>
    <row r="1" spans="1:17" s="11" customFormat="1" ht="42" customHeight="1" thickBot="1" x14ac:dyDescent="0.4">
      <c r="A1" s="24" t="s">
        <v>196</v>
      </c>
      <c r="B1" s="25" t="s">
        <v>191</v>
      </c>
      <c r="C1" s="25" t="s">
        <v>347</v>
      </c>
      <c r="D1" s="25" t="s">
        <v>192</v>
      </c>
      <c r="E1" s="25" t="s">
        <v>136</v>
      </c>
      <c r="F1" s="25" t="s">
        <v>137</v>
      </c>
      <c r="G1" s="25" t="s">
        <v>138</v>
      </c>
      <c r="H1" s="25" t="s">
        <v>139</v>
      </c>
      <c r="I1" s="25" t="s">
        <v>140</v>
      </c>
      <c r="J1" s="25" t="s">
        <v>141</v>
      </c>
      <c r="K1" s="25" t="s">
        <v>142</v>
      </c>
      <c r="L1" s="25" t="s">
        <v>143</v>
      </c>
      <c r="M1" s="25" t="s">
        <v>144</v>
      </c>
      <c r="N1" s="25" t="s">
        <v>145</v>
      </c>
      <c r="O1" s="25" t="s">
        <v>210</v>
      </c>
      <c r="P1" s="27" t="s">
        <v>148</v>
      </c>
      <c r="Q1" s="25" t="s">
        <v>149</v>
      </c>
    </row>
    <row r="2" spans="1:17" ht="18.5" customHeight="1" x14ac:dyDescent="0.35">
      <c r="A2" s="21">
        <v>2015</v>
      </c>
      <c r="B2" s="22">
        <v>1</v>
      </c>
      <c r="C2" s="22" t="s">
        <v>348</v>
      </c>
      <c r="D2" s="23">
        <v>42244</v>
      </c>
      <c r="E2" s="22" t="s">
        <v>173</v>
      </c>
      <c r="F2" s="28"/>
      <c r="G2" s="28"/>
      <c r="H2" s="22" t="s">
        <v>92</v>
      </c>
      <c r="I2" s="28"/>
      <c r="J2" s="28"/>
      <c r="K2" s="28"/>
      <c r="L2" s="28"/>
      <c r="M2" s="28"/>
      <c r="N2" s="28"/>
      <c r="O2" s="28"/>
      <c r="P2" s="23">
        <v>42248</v>
      </c>
      <c r="Q2" s="22" t="s">
        <v>189</v>
      </c>
    </row>
    <row r="3" spans="1:17" ht="18.5" customHeight="1" x14ac:dyDescent="0.35">
      <c r="A3" s="20">
        <v>2015</v>
      </c>
      <c r="B3" s="14">
        <v>2</v>
      </c>
      <c r="C3" s="22" t="s">
        <v>348</v>
      </c>
      <c r="D3" s="15">
        <v>42261</v>
      </c>
      <c r="E3" s="14" t="s">
        <v>174</v>
      </c>
      <c r="F3" s="14" t="s">
        <v>67</v>
      </c>
      <c r="G3" s="14" t="s">
        <v>68</v>
      </c>
      <c r="H3" s="14" t="s">
        <v>92</v>
      </c>
      <c r="I3" s="15">
        <v>42250</v>
      </c>
      <c r="J3" s="15">
        <v>42255</v>
      </c>
      <c r="K3" s="14" t="s">
        <v>91</v>
      </c>
      <c r="L3" s="14">
        <v>7</v>
      </c>
      <c r="M3" s="16">
        <v>0.96875</v>
      </c>
      <c r="N3" s="16">
        <v>0.125</v>
      </c>
      <c r="O3" s="29"/>
      <c r="P3" s="13">
        <v>42269</v>
      </c>
      <c r="Q3" s="14" t="s">
        <v>189</v>
      </c>
    </row>
    <row r="4" spans="1:17" ht="18.5" customHeight="1" x14ac:dyDescent="0.35">
      <c r="A4" s="18">
        <v>2015</v>
      </c>
      <c r="B4" s="12">
        <v>3</v>
      </c>
      <c r="C4" s="22" t="s">
        <v>348</v>
      </c>
      <c r="D4" s="13">
        <v>42272</v>
      </c>
      <c r="E4" s="12" t="s">
        <v>175</v>
      </c>
      <c r="F4" s="29"/>
      <c r="G4" s="29"/>
      <c r="H4" s="29"/>
      <c r="I4" s="30"/>
      <c r="J4" s="30"/>
      <c r="K4" s="12" t="s">
        <v>195</v>
      </c>
      <c r="L4" s="29"/>
      <c r="M4" s="31"/>
      <c r="N4" s="31"/>
      <c r="O4" s="29"/>
      <c r="P4" s="13">
        <v>42275</v>
      </c>
      <c r="Q4" s="12" t="s">
        <v>189</v>
      </c>
    </row>
    <row r="5" spans="1:17" ht="18.5" customHeight="1" x14ac:dyDescent="0.35">
      <c r="A5" s="20">
        <v>2015</v>
      </c>
      <c r="B5" s="14">
        <v>4</v>
      </c>
      <c r="C5" s="22" t="s">
        <v>348</v>
      </c>
      <c r="D5" s="15">
        <v>42283</v>
      </c>
      <c r="E5" s="14" t="s">
        <v>176</v>
      </c>
      <c r="F5" s="14" t="s">
        <v>69</v>
      </c>
      <c r="G5" s="14" t="s">
        <v>70</v>
      </c>
      <c r="H5" s="32"/>
      <c r="I5" s="15">
        <v>42273</v>
      </c>
      <c r="J5" s="15">
        <v>42279</v>
      </c>
      <c r="K5" s="14" t="s">
        <v>71</v>
      </c>
      <c r="L5" s="14">
        <v>10</v>
      </c>
      <c r="M5" s="16">
        <v>0.35416666666666669</v>
      </c>
      <c r="N5" s="16">
        <v>0.5</v>
      </c>
      <c r="O5" s="29"/>
      <c r="P5" s="13">
        <v>42289</v>
      </c>
      <c r="Q5" s="14" t="s">
        <v>189</v>
      </c>
    </row>
    <row r="6" spans="1:17" ht="18.5" customHeight="1" x14ac:dyDescent="0.35">
      <c r="A6" s="18">
        <v>2015</v>
      </c>
      <c r="B6" s="12">
        <v>5</v>
      </c>
      <c r="C6" s="22" t="s">
        <v>348</v>
      </c>
      <c r="D6" s="29"/>
      <c r="E6" s="12" t="s">
        <v>174</v>
      </c>
      <c r="F6" s="29"/>
      <c r="G6" s="29"/>
      <c r="H6" s="29"/>
      <c r="I6" s="30"/>
      <c r="J6" s="30"/>
      <c r="K6" s="29"/>
      <c r="L6" s="29"/>
      <c r="M6" s="31"/>
      <c r="N6" s="31"/>
      <c r="O6" s="29"/>
      <c r="P6" s="30"/>
      <c r="Q6" s="12" t="s">
        <v>189</v>
      </c>
    </row>
    <row r="7" spans="1:17" ht="18.5" customHeight="1" x14ac:dyDescent="0.35">
      <c r="A7" s="20">
        <v>2015</v>
      </c>
      <c r="B7" s="14">
        <v>6</v>
      </c>
      <c r="C7" s="22" t="s">
        <v>348</v>
      </c>
      <c r="D7" s="15">
        <v>42332</v>
      </c>
      <c r="E7" s="14" t="s">
        <v>173</v>
      </c>
      <c r="F7" s="14" t="s">
        <v>73</v>
      </c>
      <c r="G7" s="33"/>
      <c r="H7" s="14" t="s">
        <v>74</v>
      </c>
      <c r="I7" s="15">
        <v>42320</v>
      </c>
      <c r="J7" s="15">
        <v>42327</v>
      </c>
      <c r="K7" s="14" t="s">
        <v>75</v>
      </c>
      <c r="L7" s="14">
        <v>10</v>
      </c>
      <c r="M7" s="16">
        <v>0.58333333333333337</v>
      </c>
      <c r="N7" s="16">
        <v>0.75</v>
      </c>
      <c r="O7" s="29"/>
      <c r="P7" s="13" t="s">
        <v>76</v>
      </c>
      <c r="Q7" s="14" t="s">
        <v>183</v>
      </c>
    </row>
    <row r="8" spans="1:17" ht="18.5" customHeight="1" x14ac:dyDescent="0.35">
      <c r="A8" s="18">
        <v>2015</v>
      </c>
      <c r="B8" s="12">
        <v>7</v>
      </c>
      <c r="C8" s="22" t="s">
        <v>348</v>
      </c>
      <c r="D8" s="13">
        <v>42341</v>
      </c>
      <c r="E8" s="12" t="s">
        <v>173</v>
      </c>
      <c r="F8" s="12" t="s">
        <v>94</v>
      </c>
      <c r="G8" s="12" t="s">
        <v>95</v>
      </c>
      <c r="H8" s="12" t="s">
        <v>74</v>
      </c>
      <c r="I8" s="13">
        <v>42333</v>
      </c>
      <c r="J8" s="13">
        <v>42339</v>
      </c>
      <c r="K8" s="12" t="s">
        <v>96</v>
      </c>
      <c r="L8" s="12">
        <v>9</v>
      </c>
      <c r="M8" s="17">
        <v>0.30624999999999997</v>
      </c>
      <c r="N8" s="17">
        <v>0.4201388888888889</v>
      </c>
      <c r="O8" s="29"/>
      <c r="P8" s="13">
        <v>42197</v>
      </c>
      <c r="Q8" s="12" t="s">
        <v>183</v>
      </c>
    </row>
    <row r="9" spans="1:17" ht="18.5" customHeight="1" x14ac:dyDescent="0.35">
      <c r="A9" s="20">
        <v>2016</v>
      </c>
      <c r="B9" s="14">
        <v>8</v>
      </c>
      <c r="C9" s="22" t="s">
        <v>348</v>
      </c>
      <c r="D9" s="15">
        <v>42384</v>
      </c>
      <c r="E9" s="14" t="s">
        <v>173</v>
      </c>
      <c r="F9" s="14" t="s">
        <v>97</v>
      </c>
      <c r="G9" s="14" t="s">
        <v>98</v>
      </c>
      <c r="H9" s="14" t="s">
        <v>74</v>
      </c>
      <c r="I9" s="15">
        <v>42376</v>
      </c>
      <c r="J9" s="15">
        <v>42382</v>
      </c>
      <c r="K9" s="33"/>
      <c r="L9" s="14">
        <v>11</v>
      </c>
      <c r="M9" s="16">
        <v>0.27083333333333331</v>
      </c>
      <c r="N9" s="16">
        <v>0.41666666666666669</v>
      </c>
      <c r="O9" s="29"/>
      <c r="P9" s="13" t="s">
        <v>93</v>
      </c>
      <c r="Q9" s="14" t="s">
        <v>183</v>
      </c>
    </row>
    <row r="10" spans="1:17" ht="18.5" customHeight="1" x14ac:dyDescent="0.35">
      <c r="A10" s="18">
        <v>2016</v>
      </c>
      <c r="B10" s="12">
        <v>9</v>
      </c>
      <c r="C10" s="22" t="s">
        <v>348</v>
      </c>
      <c r="D10" s="13">
        <v>42404</v>
      </c>
      <c r="E10" s="12" t="s">
        <v>173</v>
      </c>
      <c r="F10" s="12" t="s">
        <v>89</v>
      </c>
      <c r="G10" s="12" t="s">
        <v>90</v>
      </c>
      <c r="H10" s="12" t="s">
        <v>74</v>
      </c>
      <c r="I10" s="13">
        <v>42391</v>
      </c>
      <c r="J10" s="13">
        <v>42399</v>
      </c>
      <c r="K10" s="12" t="s">
        <v>91</v>
      </c>
      <c r="L10" s="29"/>
      <c r="M10" s="17">
        <v>0.29166666666666669</v>
      </c>
      <c r="N10" s="17">
        <v>0.47916666666666669</v>
      </c>
      <c r="O10" s="29"/>
      <c r="P10" s="13">
        <v>42404</v>
      </c>
      <c r="Q10" s="12" t="s">
        <v>183</v>
      </c>
    </row>
    <row r="11" spans="1:17" ht="18.5" customHeight="1" x14ac:dyDescent="0.35">
      <c r="A11" s="20">
        <v>2016</v>
      </c>
      <c r="B11" s="14">
        <v>10</v>
      </c>
      <c r="C11" s="22" t="s">
        <v>348</v>
      </c>
      <c r="D11" s="15">
        <v>42431</v>
      </c>
      <c r="E11" s="14" t="s">
        <v>174</v>
      </c>
      <c r="F11" s="14" t="s">
        <v>105</v>
      </c>
      <c r="G11" s="14" t="s">
        <v>106</v>
      </c>
      <c r="H11" s="14" t="s">
        <v>74</v>
      </c>
      <c r="I11" s="15">
        <v>42418</v>
      </c>
      <c r="J11" s="15">
        <v>42427</v>
      </c>
      <c r="K11" s="14" t="s">
        <v>107</v>
      </c>
      <c r="L11" s="33"/>
      <c r="M11" s="16">
        <v>0.375</v>
      </c>
      <c r="N11" s="16">
        <v>0.5625</v>
      </c>
      <c r="O11" s="29"/>
      <c r="P11" s="13">
        <v>42433</v>
      </c>
      <c r="Q11" s="14" t="s">
        <v>183</v>
      </c>
    </row>
    <row r="12" spans="1:17" ht="18.5" customHeight="1" x14ac:dyDescent="0.35">
      <c r="A12" s="18">
        <v>2016</v>
      </c>
      <c r="B12" s="12">
        <v>11</v>
      </c>
      <c r="C12" s="22" t="s">
        <v>348</v>
      </c>
      <c r="D12" s="13">
        <v>42464</v>
      </c>
      <c r="E12" s="12" t="s">
        <v>174</v>
      </c>
      <c r="F12" s="12" t="s">
        <v>103</v>
      </c>
      <c r="G12" s="12" t="s">
        <v>104</v>
      </c>
      <c r="H12" s="12" t="s">
        <v>74</v>
      </c>
      <c r="I12" s="13">
        <v>42454</v>
      </c>
      <c r="J12" s="13">
        <v>42463</v>
      </c>
      <c r="K12" s="12" t="s">
        <v>66</v>
      </c>
      <c r="L12" s="29"/>
      <c r="M12" s="17">
        <v>0.29166666666666669</v>
      </c>
      <c r="N12" s="17">
        <v>0.45833333333333331</v>
      </c>
      <c r="O12" s="29"/>
      <c r="P12" s="13">
        <v>42466</v>
      </c>
      <c r="Q12" s="12" t="s">
        <v>183</v>
      </c>
    </row>
    <row r="13" spans="1:17" ht="18.5" customHeight="1" x14ac:dyDescent="0.35">
      <c r="A13" s="20">
        <v>2016</v>
      </c>
      <c r="B13" s="14">
        <v>12</v>
      </c>
      <c r="C13" s="22" t="s">
        <v>348</v>
      </c>
      <c r="D13" s="15">
        <v>42480</v>
      </c>
      <c r="E13" s="14" t="s">
        <v>173</v>
      </c>
      <c r="F13" s="14" t="s">
        <v>101</v>
      </c>
      <c r="G13" s="14" t="s">
        <v>102</v>
      </c>
      <c r="H13" s="14" t="s">
        <v>74</v>
      </c>
      <c r="I13" s="32">
        <v>42471</v>
      </c>
      <c r="J13" s="32">
        <v>42478</v>
      </c>
      <c r="K13" s="14" t="s">
        <v>75</v>
      </c>
      <c r="L13" s="14">
        <v>11</v>
      </c>
      <c r="M13" s="34"/>
      <c r="N13" s="34"/>
      <c r="O13" s="29"/>
      <c r="P13" s="13">
        <v>42481</v>
      </c>
      <c r="Q13" s="14" t="s">
        <v>183</v>
      </c>
    </row>
    <row r="14" spans="1:17" ht="18.5" customHeight="1" x14ac:dyDescent="0.35">
      <c r="A14" s="18">
        <v>2016</v>
      </c>
      <c r="B14" s="12">
        <v>13</v>
      </c>
      <c r="C14" s="22" t="s">
        <v>348</v>
      </c>
      <c r="D14" s="30">
        <v>42495</v>
      </c>
      <c r="E14" s="12" t="s">
        <v>173</v>
      </c>
      <c r="F14" s="40" t="s">
        <v>396</v>
      </c>
      <c r="G14" s="29"/>
      <c r="H14" s="12" t="s">
        <v>74</v>
      </c>
      <c r="I14" s="30">
        <v>42486</v>
      </c>
      <c r="J14" s="30">
        <v>42493</v>
      </c>
      <c r="K14" s="29"/>
      <c r="L14" s="29"/>
      <c r="M14" s="31"/>
      <c r="N14" s="31"/>
      <c r="O14" s="29"/>
      <c r="P14" s="13">
        <v>42523</v>
      </c>
      <c r="Q14" s="12" t="s">
        <v>183</v>
      </c>
    </row>
    <row r="15" spans="1:17" ht="18.5" customHeight="1" x14ac:dyDescent="0.35">
      <c r="A15" s="20">
        <v>2016</v>
      </c>
      <c r="B15" s="14">
        <v>14</v>
      </c>
      <c r="C15" s="22" t="s">
        <v>348</v>
      </c>
      <c r="D15" s="15">
        <v>42551</v>
      </c>
      <c r="E15" s="14" t="s">
        <v>176</v>
      </c>
      <c r="F15" s="33" t="s">
        <v>397</v>
      </c>
      <c r="G15" s="33"/>
      <c r="H15" s="14" t="s">
        <v>74</v>
      </c>
      <c r="I15" s="32">
        <v>42540</v>
      </c>
      <c r="J15" s="32">
        <v>42549</v>
      </c>
      <c r="K15" s="33"/>
      <c r="L15" s="33"/>
      <c r="M15" s="34"/>
      <c r="N15" s="34"/>
      <c r="O15" s="29"/>
      <c r="P15" s="13" t="s">
        <v>112</v>
      </c>
      <c r="Q15" s="14" t="s">
        <v>211</v>
      </c>
    </row>
    <row r="16" spans="1:17" ht="18.5" customHeight="1" x14ac:dyDescent="0.35">
      <c r="A16" s="18">
        <v>2016</v>
      </c>
      <c r="B16" s="12">
        <v>15</v>
      </c>
      <c r="C16" s="22" t="s">
        <v>348</v>
      </c>
      <c r="D16" s="13">
        <v>42594</v>
      </c>
      <c r="E16" s="12" t="s">
        <v>173</v>
      </c>
      <c r="F16" s="40" t="s">
        <v>398</v>
      </c>
      <c r="G16" s="29"/>
      <c r="H16" s="12" t="s">
        <v>74</v>
      </c>
      <c r="I16" s="30">
        <v>42585</v>
      </c>
      <c r="J16" s="30">
        <v>42591</v>
      </c>
      <c r="K16" s="29"/>
      <c r="L16" s="29"/>
      <c r="M16" s="31"/>
      <c r="N16" s="31"/>
      <c r="O16" s="29"/>
      <c r="P16" s="13">
        <v>42605</v>
      </c>
      <c r="Q16" s="12" t="s">
        <v>212</v>
      </c>
    </row>
    <row r="17" spans="1:17" ht="18.5" customHeight="1" x14ac:dyDescent="0.35">
      <c r="A17" s="20">
        <v>2016</v>
      </c>
      <c r="B17" s="14">
        <v>16</v>
      </c>
      <c r="C17" s="22" t="s">
        <v>348</v>
      </c>
      <c r="D17" s="15">
        <v>42615</v>
      </c>
      <c r="E17" s="14" t="s">
        <v>173</v>
      </c>
      <c r="F17" s="33" t="s">
        <v>399</v>
      </c>
      <c r="G17" s="33"/>
      <c r="H17" s="14" t="s">
        <v>74</v>
      </c>
      <c r="I17" s="32">
        <v>42607</v>
      </c>
      <c r="J17" s="32">
        <v>42613</v>
      </c>
      <c r="K17" s="33"/>
      <c r="L17" s="33"/>
      <c r="M17" s="34"/>
      <c r="N17" s="34"/>
      <c r="O17" s="29"/>
      <c r="P17" s="13">
        <v>42620</v>
      </c>
      <c r="Q17" s="14" t="s">
        <v>183</v>
      </c>
    </row>
    <row r="18" spans="1:17" ht="18.5" customHeight="1" x14ac:dyDescent="0.35">
      <c r="A18" s="18">
        <v>2016</v>
      </c>
      <c r="B18" s="12">
        <v>17</v>
      </c>
      <c r="C18" s="22" t="s">
        <v>348</v>
      </c>
      <c r="D18" s="13">
        <v>42633</v>
      </c>
      <c r="E18" s="12" t="s">
        <v>175</v>
      </c>
      <c r="F18" s="29" t="s">
        <v>400</v>
      </c>
      <c r="G18" s="12" t="s">
        <v>114</v>
      </c>
      <c r="H18" s="12" t="s">
        <v>74</v>
      </c>
      <c r="I18" s="13">
        <v>42623</v>
      </c>
      <c r="J18" s="13">
        <v>42632</v>
      </c>
      <c r="K18" s="29"/>
      <c r="L18" s="29"/>
      <c r="M18" s="31"/>
      <c r="N18" s="31"/>
      <c r="O18" s="29"/>
      <c r="P18" s="13">
        <v>42633</v>
      </c>
      <c r="Q18" s="12" t="s">
        <v>183</v>
      </c>
    </row>
    <row r="19" spans="1:17" ht="18.5" customHeight="1" x14ac:dyDescent="0.35">
      <c r="A19" s="20">
        <v>2016</v>
      </c>
      <c r="B19" s="14">
        <v>18</v>
      </c>
      <c r="C19" s="22" t="s">
        <v>348</v>
      </c>
      <c r="D19" s="15">
        <v>42649</v>
      </c>
      <c r="E19" s="14" t="s">
        <v>175</v>
      </c>
      <c r="F19" s="33" t="s">
        <v>401</v>
      </c>
      <c r="G19" s="33"/>
      <c r="H19" s="14" t="s">
        <v>74</v>
      </c>
      <c r="I19" s="32">
        <v>42641</v>
      </c>
      <c r="J19" s="32">
        <v>42648</v>
      </c>
      <c r="K19" s="33"/>
      <c r="L19" s="33"/>
      <c r="M19" s="34"/>
      <c r="N19" s="34"/>
      <c r="O19" s="29"/>
      <c r="P19" s="13">
        <v>42661</v>
      </c>
      <c r="Q19" s="14" t="s">
        <v>183</v>
      </c>
    </row>
    <row r="20" spans="1:17" ht="18.5" customHeight="1" x14ac:dyDescent="0.35">
      <c r="A20" s="18">
        <v>2016</v>
      </c>
      <c r="B20" s="12">
        <v>19</v>
      </c>
      <c r="C20" s="22" t="s">
        <v>348</v>
      </c>
      <c r="D20" s="13">
        <v>42668</v>
      </c>
      <c r="E20" s="12" t="s">
        <v>174</v>
      </c>
      <c r="F20" s="29" t="s">
        <v>402</v>
      </c>
      <c r="G20" s="29"/>
      <c r="H20" s="12" t="s">
        <v>74</v>
      </c>
      <c r="I20" s="30">
        <v>42659</v>
      </c>
      <c r="J20" s="30">
        <v>42666</v>
      </c>
      <c r="K20" s="29"/>
      <c r="L20" s="29"/>
      <c r="M20" s="31"/>
      <c r="N20" s="31"/>
      <c r="O20" s="29"/>
      <c r="P20" s="13">
        <v>42669</v>
      </c>
      <c r="Q20" s="12" t="s">
        <v>183</v>
      </c>
    </row>
    <row r="21" spans="1:17" ht="18.5" customHeight="1" x14ac:dyDescent="0.35">
      <c r="A21" s="20">
        <v>2016</v>
      </c>
      <c r="B21" s="14">
        <v>20</v>
      </c>
      <c r="C21" s="22" t="s">
        <v>348</v>
      </c>
      <c r="D21" s="15">
        <v>42688</v>
      </c>
      <c r="E21" s="33" t="s">
        <v>173</v>
      </c>
      <c r="F21" s="33" t="s">
        <v>403</v>
      </c>
      <c r="G21" s="33"/>
      <c r="H21" s="14" t="s">
        <v>74</v>
      </c>
      <c r="I21" s="32">
        <v>42679</v>
      </c>
      <c r="J21" s="32">
        <v>42685</v>
      </c>
      <c r="K21" s="33"/>
      <c r="L21" s="33"/>
      <c r="M21" s="34"/>
      <c r="N21" s="34"/>
      <c r="O21" s="29"/>
      <c r="P21" s="13">
        <v>42692</v>
      </c>
      <c r="Q21" s="14" t="s">
        <v>183</v>
      </c>
    </row>
    <row r="22" spans="1:17" ht="18.5" customHeight="1" x14ac:dyDescent="0.35">
      <c r="A22" s="18">
        <v>2016</v>
      </c>
      <c r="B22" s="12">
        <v>21</v>
      </c>
      <c r="C22" s="22" t="s">
        <v>348</v>
      </c>
      <c r="D22" s="13">
        <v>42720</v>
      </c>
      <c r="E22" s="12" t="s">
        <v>173</v>
      </c>
      <c r="F22" s="12" t="s">
        <v>130</v>
      </c>
      <c r="G22" s="29"/>
      <c r="H22" s="12" t="s">
        <v>74</v>
      </c>
      <c r="I22" s="30">
        <v>42714</v>
      </c>
      <c r="J22" s="30">
        <v>42720</v>
      </c>
      <c r="K22" s="29"/>
      <c r="L22" s="29"/>
      <c r="M22" s="31"/>
      <c r="N22" s="31"/>
      <c r="O22" s="29"/>
      <c r="P22" s="13">
        <v>42724</v>
      </c>
      <c r="Q22" s="12" t="s">
        <v>183</v>
      </c>
    </row>
    <row r="23" spans="1:17" ht="18.5" customHeight="1" x14ac:dyDescent="0.35">
      <c r="A23" s="20">
        <v>2017</v>
      </c>
      <c r="B23" s="14">
        <v>22</v>
      </c>
      <c r="C23" s="22" t="s">
        <v>348</v>
      </c>
      <c r="D23" s="15">
        <v>42761</v>
      </c>
      <c r="E23" s="14" t="s">
        <v>176</v>
      </c>
      <c r="F23" s="33" t="s">
        <v>404</v>
      </c>
      <c r="G23" s="33"/>
      <c r="H23" s="14" t="s">
        <v>74</v>
      </c>
      <c r="I23" s="32">
        <v>42754</v>
      </c>
      <c r="J23" s="32">
        <v>42760</v>
      </c>
      <c r="K23" s="33"/>
      <c r="L23" s="33"/>
      <c r="M23" s="34"/>
      <c r="N23" s="34"/>
      <c r="O23" s="29"/>
      <c r="P23" s="13">
        <v>42765</v>
      </c>
      <c r="Q23" s="33"/>
    </row>
    <row r="24" spans="1:17" ht="18.5" customHeight="1" x14ac:dyDescent="0.35">
      <c r="A24" s="18">
        <v>2017</v>
      </c>
      <c r="B24" s="12">
        <v>23</v>
      </c>
      <c r="C24" s="22" t="s">
        <v>348</v>
      </c>
      <c r="D24" s="13">
        <v>42779</v>
      </c>
      <c r="E24" s="12" t="s">
        <v>175</v>
      </c>
      <c r="F24" s="12" t="s">
        <v>131</v>
      </c>
      <c r="G24" s="29"/>
      <c r="H24" s="12" t="s">
        <v>74</v>
      </c>
      <c r="I24" s="13">
        <v>42770</v>
      </c>
      <c r="J24" s="13">
        <v>42773</v>
      </c>
      <c r="K24" s="12" t="s">
        <v>132</v>
      </c>
      <c r="L24" s="12">
        <v>10</v>
      </c>
      <c r="M24" s="17">
        <v>0.91666666666666663</v>
      </c>
      <c r="N24" s="17">
        <v>0.125</v>
      </c>
      <c r="O24" s="12" t="s">
        <v>213</v>
      </c>
      <c r="P24" s="13">
        <v>42800</v>
      </c>
      <c r="Q24" s="12" t="s">
        <v>183</v>
      </c>
    </row>
    <row r="25" spans="1:17" ht="18.5" customHeight="1" x14ac:dyDescent="0.35">
      <c r="A25" s="18">
        <v>2017</v>
      </c>
      <c r="B25" s="12">
        <v>24</v>
      </c>
      <c r="C25" s="22" t="s">
        <v>348</v>
      </c>
      <c r="D25" s="13">
        <v>42793</v>
      </c>
      <c r="E25" s="12" t="s">
        <v>174</v>
      </c>
      <c r="F25" s="12" t="s">
        <v>133</v>
      </c>
      <c r="G25" s="12" t="s">
        <v>134</v>
      </c>
      <c r="H25" s="12" t="s">
        <v>74</v>
      </c>
      <c r="I25" s="13">
        <v>42783</v>
      </c>
      <c r="J25" s="13">
        <v>42793</v>
      </c>
      <c r="K25" s="12" t="s">
        <v>135</v>
      </c>
      <c r="L25" s="12">
        <v>11</v>
      </c>
      <c r="M25" s="17">
        <v>0.2673611111111111</v>
      </c>
      <c r="N25" s="17">
        <v>0.41666666666666669</v>
      </c>
      <c r="O25" s="12" t="s">
        <v>214</v>
      </c>
      <c r="P25" s="13">
        <v>42800</v>
      </c>
      <c r="Q25" s="12" t="s">
        <v>183</v>
      </c>
    </row>
    <row r="26" spans="1:17" ht="18.5" customHeight="1" x14ac:dyDescent="0.35">
      <c r="A26" s="18">
        <v>2017</v>
      </c>
      <c r="B26" s="12">
        <v>25</v>
      </c>
      <c r="C26" s="12" t="s">
        <v>349</v>
      </c>
      <c r="D26" s="13">
        <v>43098</v>
      </c>
      <c r="E26" s="12" t="s">
        <v>174</v>
      </c>
      <c r="F26" s="12" t="s">
        <v>273</v>
      </c>
      <c r="G26" s="12" t="s">
        <v>274</v>
      </c>
      <c r="H26" s="29"/>
      <c r="I26" s="13">
        <v>43089</v>
      </c>
      <c r="J26" s="13">
        <v>43097</v>
      </c>
      <c r="K26" s="12" t="s">
        <v>275</v>
      </c>
      <c r="L26" s="12">
        <v>11</v>
      </c>
      <c r="M26" s="17">
        <v>0.75</v>
      </c>
      <c r="N26" s="17">
        <v>0.875</v>
      </c>
      <c r="O26" s="22" t="s">
        <v>384</v>
      </c>
      <c r="P26" s="32"/>
      <c r="Q26" s="19" t="s">
        <v>183</v>
      </c>
    </row>
    <row r="27" spans="1:17" ht="18.5" customHeight="1" x14ac:dyDescent="0.35">
      <c r="A27" s="18">
        <v>2018</v>
      </c>
      <c r="B27" s="12">
        <v>26</v>
      </c>
      <c r="C27" s="12" t="s">
        <v>349</v>
      </c>
      <c r="D27" s="13">
        <v>43111</v>
      </c>
      <c r="E27" s="12" t="s">
        <v>175</v>
      </c>
      <c r="F27" s="12" t="s">
        <v>292</v>
      </c>
      <c r="G27" s="12" t="s">
        <v>293</v>
      </c>
      <c r="H27" s="29"/>
      <c r="I27" s="13">
        <v>43102</v>
      </c>
      <c r="J27" s="13">
        <v>43111</v>
      </c>
      <c r="K27" s="12" t="s">
        <v>294</v>
      </c>
      <c r="L27" s="12">
        <v>12</v>
      </c>
      <c r="M27" s="17">
        <v>0.75</v>
      </c>
      <c r="N27" s="17">
        <v>0.91666666666666663</v>
      </c>
      <c r="O27" s="12" t="s">
        <v>385</v>
      </c>
      <c r="P27" s="30"/>
      <c r="Q27" s="12" t="s">
        <v>183</v>
      </c>
    </row>
    <row r="28" spans="1:17" ht="18.5" customHeight="1" x14ac:dyDescent="0.35">
      <c r="A28" s="18">
        <v>2018</v>
      </c>
      <c r="B28" s="12">
        <v>27</v>
      </c>
      <c r="C28" s="12" t="s">
        <v>349</v>
      </c>
      <c r="D28" s="13">
        <v>43125</v>
      </c>
      <c r="E28" s="12" t="s">
        <v>174</v>
      </c>
      <c r="F28" s="12" t="s">
        <v>311</v>
      </c>
      <c r="G28" s="12" t="s">
        <v>312</v>
      </c>
      <c r="H28" s="29"/>
      <c r="I28" s="13">
        <v>43117</v>
      </c>
      <c r="J28" s="13">
        <v>43125</v>
      </c>
      <c r="K28" s="12" t="s">
        <v>313</v>
      </c>
      <c r="L28" s="12">
        <v>13</v>
      </c>
      <c r="M28" s="17" t="s">
        <v>314</v>
      </c>
      <c r="N28" s="17" t="s">
        <v>315</v>
      </c>
      <c r="O28" s="12" t="s">
        <v>386</v>
      </c>
      <c r="P28" s="30"/>
      <c r="Q28" s="12" t="s">
        <v>185</v>
      </c>
    </row>
    <row r="29" spans="1:17" ht="18.5" customHeight="1" x14ac:dyDescent="0.35">
      <c r="A29" s="18">
        <v>2018</v>
      </c>
      <c r="B29" s="12">
        <v>28</v>
      </c>
      <c r="C29" s="12" t="s">
        <v>349</v>
      </c>
      <c r="D29" s="13">
        <v>43138</v>
      </c>
      <c r="E29" s="12" t="s">
        <v>175</v>
      </c>
      <c r="F29" s="12" t="s">
        <v>317</v>
      </c>
      <c r="G29" s="12" t="s">
        <v>318</v>
      </c>
      <c r="H29" s="29"/>
      <c r="I29" s="13">
        <v>43128</v>
      </c>
      <c r="J29" s="13">
        <v>43133</v>
      </c>
      <c r="K29" s="12" t="s">
        <v>319</v>
      </c>
      <c r="L29" s="12">
        <v>8</v>
      </c>
      <c r="M29" s="31"/>
      <c r="N29" s="31"/>
      <c r="O29" s="12" t="s">
        <v>386</v>
      </c>
      <c r="P29" s="30"/>
      <c r="Q29" s="12" t="s">
        <v>185</v>
      </c>
    </row>
    <row r="30" spans="1:17" ht="18.5" customHeight="1" x14ac:dyDescent="0.35">
      <c r="A30" s="18">
        <v>2018</v>
      </c>
      <c r="B30" s="12">
        <v>29</v>
      </c>
      <c r="C30" s="12" t="s">
        <v>349</v>
      </c>
      <c r="D30" s="13">
        <v>43145</v>
      </c>
      <c r="E30" s="12" t="s">
        <v>173</v>
      </c>
      <c r="F30" s="12" t="s">
        <v>320</v>
      </c>
      <c r="G30" s="12" t="s">
        <v>321</v>
      </c>
      <c r="H30" s="29"/>
      <c r="I30" s="13">
        <v>43138</v>
      </c>
      <c r="J30" s="13">
        <v>43144</v>
      </c>
      <c r="K30" s="12" t="s">
        <v>322</v>
      </c>
      <c r="L30" s="12">
        <v>10</v>
      </c>
      <c r="M30" s="17" t="s">
        <v>323</v>
      </c>
      <c r="N30" s="17" t="s">
        <v>324</v>
      </c>
      <c r="O30" s="22" t="s">
        <v>384</v>
      </c>
      <c r="P30" s="30"/>
      <c r="Q30" s="12" t="s">
        <v>188</v>
      </c>
    </row>
    <row r="31" spans="1:17" ht="18.5" customHeight="1" x14ac:dyDescent="0.35">
      <c r="A31" s="18">
        <v>2018</v>
      </c>
      <c r="B31" s="12">
        <v>30</v>
      </c>
      <c r="C31" s="12" t="s">
        <v>349</v>
      </c>
      <c r="D31" s="13">
        <v>43152</v>
      </c>
      <c r="E31" s="12" t="s">
        <v>174</v>
      </c>
      <c r="F31" s="12" t="s">
        <v>326</v>
      </c>
      <c r="G31" s="12" t="s">
        <v>327</v>
      </c>
      <c r="H31" s="29"/>
      <c r="I31" s="13">
        <v>43143</v>
      </c>
      <c r="J31" s="13">
        <v>43152</v>
      </c>
      <c r="K31" s="12" t="s">
        <v>328</v>
      </c>
      <c r="L31" s="12">
        <v>12</v>
      </c>
      <c r="M31" s="17" t="s">
        <v>329</v>
      </c>
      <c r="N31" s="17" t="s">
        <v>330</v>
      </c>
      <c r="O31" s="12" t="s">
        <v>387</v>
      </c>
      <c r="P31" s="30"/>
      <c r="Q31" s="12" t="s">
        <v>381</v>
      </c>
    </row>
    <row r="32" spans="1:17" ht="18.5" customHeight="1" x14ac:dyDescent="0.35">
      <c r="A32" s="18">
        <v>2018</v>
      </c>
      <c r="B32" s="12">
        <v>31</v>
      </c>
      <c r="C32" s="12" t="s">
        <v>349</v>
      </c>
      <c r="D32" s="13">
        <v>43158</v>
      </c>
      <c r="E32" s="14" t="s">
        <v>176</v>
      </c>
      <c r="F32" s="12" t="s">
        <v>333</v>
      </c>
      <c r="G32" s="12" t="s">
        <v>334</v>
      </c>
      <c r="H32" s="29"/>
      <c r="I32" s="13">
        <v>43148</v>
      </c>
      <c r="J32" s="13">
        <v>43157</v>
      </c>
      <c r="K32" s="12" t="s">
        <v>313</v>
      </c>
      <c r="L32" s="12">
        <v>11</v>
      </c>
      <c r="M32" s="17">
        <v>0.6430555555555556</v>
      </c>
      <c r="N32" s="17">
        <v>0.77708333333333324</v>
      </c>
      <c r="O32" s="22" t="s">
        <v>384</v>
      </c>
      <c r="P32" s="30"/>
      <c r="Q32" s="12" t="s">
        <v>382</v>
      </c>
    </row>
    <row r="33" spans="1:17" ht="18.5" customHeight="1" x14ac:dyDescent="0.35">
      <c r="A33" s="18">
        <v>2018</v>
      </c>
      <c r="B33" s="12">
        <v>32</v>
      </c>
      <c r="C33" s="12" t="s">
        <v>349</v>
      </c>
      <c r="D33" s="13">
        <v>43174</v>
      </c>
      <c r="E33" s="12" t="s">
        <v>173</v>
      </c>
      <c r="F33" s="12" t="s">
        <v>335</v>
      </c>
      <c r="G33" s="12" t="s">
        <v>336</v>
      </c>
      <c r="H33" s="29"/>
      <c r="I33" s="13">
        <v>43168</v>
      </c>
      <c r="J33" s="13">
        <v>43173</v>
      </c>
      <c r="K33" s="12" t="s">
        <v>337</v>
      </c>
      <c r="L33" s="12">
        <v>10</v>
      </c>
      <c r="M33" s="17">
        <v>0.20833333333333334</v>
      </c>
      <c r="N33" s="17">
        <v>0.375</v>
      </c>
      <c r="O33" s="22" t="s">
        <v>384</v>
      </c>
      <c r="P33" s="30"/>
      <c r="Q33" s="12" t="s">
        <v>188</v>
      </c>
    </row>
    <row r="34" spans="1:17" ht="18.5" customHeight="1" x14ac:dyDescent="0.35">
      <c r="A34" s="18">
        <v>2018</v>
      </c>
      <c r="B34" s="12">
        <v>33</v>
      </c>
      <c r="C34" s="12" t="s">
        <v>349</v>
      </c>
      <c r="D34" s="13">
        <v>43180</v>
      </c>
      <c r="E34" s="12" t="s">
        <v>174</v>
      </c>
      <c r="F34" s="12" t="s">
        <v>339</v>
      </c>
      <c r="G34" s="12" t="s">
        <v>340</v>
      </c>
      <c r="H34" s="29"/>
      <c r="I34" s="13">
        <v>43173</v>
      </c>
      <c r="J34" s="13">
        <v>43180</v>
      </c>
      <c r="K34" s="12" t="s">
        <v>96</v>
      </c>
      <c r="L34" s="12">
        <v>10</v>
      </c>
      <c r="M34" s="17">
        <v>0.47847222222222219</v>
      </c>
      <c r="N34" s="17">
        <v>0.625</v>
      </c>
      <c r="O34" s="12" t="s">
        <v>388</v>
      </c>
      <c r="P34" s="30"/>
      <c r="Q34" s="12" t="s">
        <v>187</v>
      </c>
    </row>
    <row r="35" spans="1:17" ht="18.5" customHeight="1" x14ac:dyDescent="0.35">
      <c r="A35" s="18">
        <v>2018</v>
      </c>
      <c r="B35" s="12">
        <v>34</v>
      </c>
      <c r="C35" s="12" t="s">
        <v>349</v>
      </c>
      <c r="D35" s="13">
        <v>43186</v>
      </c>
      <c r="E35" s="14" t="s">
        <v>176</v>
      </c>
      <c r="F35" s="12" t="s">
        <v>341</v>
      </c>
      <c r="G35" s="12" t="s">
        <v>342</v>
      </c>
      <c r="H35" s="29"/>
      <c r="I35" s="13">
        <v>43176</v>
      </c>
      <c r="J35" s="13">
        <v>43184</v>
      </c>
      <c r="K35" s="12" t="s">
        <v>343</v>
      </c>
      <c r="L35" s="12">
        <v>12</v>
      </c>
      <c r="M35" s="17">
        <v>0</v>
      </c>
      <c r="N35" s="17">
        <v>0.17708333333333334</v>
      </c>
      <c r="O35" s="22" t="s">
        <v>384</v>
      </c>
      <c r="P35" s="30"/>
      <c r="Q35" s="12" t="s">
        <v>382</v>
      </c>
    </row>
    <row r="36" spans="1:17" ht="18.5" customHeight="1" x14ac:dyDescent="0.35">
      <c r="A36" s="18">
        <v>2018</v>
      </c>
      <c r="B36" s="12">
        <v>35</v>
      </c>
      <c r="C36" s="12" t="s">
        <v>349</v>
      </c>
      <c r="D36" s="13">
        <v>43196</v>
      </c>
      <c r="E36" s="12" t="s">
        <v>175</v>
      </c>
      <c r="F36" s="29"/>
      <c r="G36" s="29"/>
      <c r="H36" s="29"/>
      <c r="I36" s="30"/>
      <c r="J36" s="30"/>
      <c r="K36" s="29"/>
      <c r="L36" s="29"/>
      <c r="M36" s="31"/>
      <c r="N36" s="31"/>
      <c r="O36" s="12" t="s">
        <v>389</v>
      </c>
      <c r="P36" s="30"/>
      <c r="Q36" s="12" t="s">
        <v>383</v>
      </c>
    </row>
    <row r="37" spans="1:17" x14ac:dyDescent="0.35">
      <c r="I37" s="10"/>
      <c r="J37" s="10"/>
    </row>
    <row r="39" spans="1:17" x14ac:dyDescent="0.35">
      <c r="A39" s="36" t="s">
        <v>390</v>
      </c>
    </row>
    <row r="40" spans="1:17" x14ac:dyDescent="0.35">
      <c r="A40" s="35" t="s">
        <v>391</v>
      </c>
    </row>
    <row r="41" spans="1:17" x14ac:dyDescent="0.35">
      <c r="A41" s="35" t="s">
        <v>392</v>
      </c>
    </row>
    <row r="42" spans="1:17" x14ac:dyDescent="0.35">
      <c r="A42" s="9" t="s">
        <v>393</v>
      </c>
    </row>
    <row r="46" spans="1:17" x14ac:dyDescent="0.35">
      <c r="B46" s="9" t="s">
        <v>394</v>
      </c>
    </row>
    <row r="48" spans="1:17" x14ac:dyDescent="0.35">
      <c r="C48" s="22">
        <v>1</v>
      </c>
      <c r="D48" s="22" t="s">
        <v>348</v>
      </c>
      <c r="E48" s="37">
        <v>8</v>
      </c>
      <c r="F48" s="22" t="s">
        <v>173</v>
      </c>
    </row>
    <row r="49" spans="3:6" x14ac:dyDescent="0.35">
      <c r="C49" s="14">
        <v>2</v>
      </c>
      <c r="D49" s="22" t="s">
        <v>348</v>
      </c>
      <c r="E49" s="38">
        <v>9</v>
      </c>
      <c r="F49" s="14" t="s">
        <v>174</v>
      </c>
    </row>
    <row r="50" spans="3:6" x14ac:dyDescent="0.35">
      <c r="C50" s="12">
        <v>3</v>
      </c>
      <c r="D50" s="22" t="s">
        <v>348</v>
      </c>
      <c r="E50" s="39">
        <v>9</v>
      </c>
      <c r="F50" s="12" t="s">
        <v>175</v>
      </c>
    </row>
    <row r="51" spans="3:6" x14ac:dyDescent="0.35">
      <c r="C51" s="14">
        <v>4</v>
      </c>
      <c r="D51" s="22" t="s">
        <v>348</v>
      </c>
      <c r="E51" s="38">
        <v>10</v>
      </c>
      <c r="F51" s="14" t="s">
        <v>176</v>
      </c>
    </row>
    <row r="52" spans="3:6" x14ac:dyDescent="0.35">
      <c r="C52" s="12">
        <v>5</v>
      </c>
      <c r="D52" s="22" t="s">
        <v>348</v>
      </c>
      <c r="E52" s="39">
        <v>10</v>
      </c>
      <c r="F52" s="12" t="s">
        <v>174</v>
      </c>
    </row>
    <row r="53" spans="3:6" x14ac:dyDescent="0.35">
      <c r="C53" s="14">
        <v>6</v>
      </c>
      <c r="D53" s="22" t="s">
        <v>348</v>
      </c>
      <c r="E53" s="38">
        <v>11</v>
      </c>
      <c r="F53" s="14" t="s">
        <v>173</v>
      </c>
    </row>
    <row r="54" spans="3:6" x14ac:dyDescent="0.35">
      <c r="C54" s="12">
        <v>7</v>
      </c>
      <c r="D54" s="22" t="s">
        <v>348</v>
      </c>
      <c r="E54" s="39">
        <v>12</v>
      </c>
      <c r="F54" s="12" t="s">
        <v>173</v>
      </c>
    </row>
    <row r="55" spans="3:6" x14ac:dyDescent="0.35">
      <c r="C55" s="14">
        <v>8</v>
      </c>
      <c r="D55" s="22" t="s">
        <v>348</v>
      </c>
      <c r="E55" s="38">
        <v>1</v>
      </c>
      <c r="F55" s="14" t="s">
        <v>173</v>
      </c>
    </row>
    <row r="56" spans="3:6" x14ac:dyDescent="0.35">
      <c r="C56" s="12">
        <v>9</v>
      </c>
      <c r="D56" s="22" t="s">
        <v>348</v>
      </c>
      <c r="E56" s="39">
        <v>2</v>
      </c>
      <c r="F56" s="12" t="s">
        <v>173</v>
      </c>
    </row>
    <row r="57" spans="3:6" x14ac:dyDescent="0.35">
      <c r="C57" s="14">
        <v>10</v>
      </c>
      <c r="D57" s="22" t="s">
        <v>348</v>
      </c>
      <c r="E57" s="38">
        <v>3</v>
      </c>
      <c r="F57" s="14" t="s">
        <v>174</v>
      </c>
    </row>
    <row r="58" spans="3:6" x14ac:dyDescent="0.35">
      <c r="C58" s="12">
        <v>11</v>
      </c>
      <c r="D58" s="22" t="s">
        <v>348</v>
      </c>
      <c r="E58" s="39">
        <v>4</v>
      </c>
      <c r="F58" s="12" t="s">
        <v>174</v>
      </c>
    </row>
    <row r="59" spans="3:6" x14ac:dyDescent="0.35">
      <c r="C59" s="14">
        <v>12</v>
      </c>
      <c r="D59" s="22" t="s">
        <v>348</v>
      </c>
      <c r="E59" s="38">
        <v>4</v>
      </c>
      <c r="F59" s="14" t="s">
        <v>173</v>
      </c>
    </row>
    <row r="60" spans="3:6" x14ac:dyDescent="0.35">
      <c r="C60" s="12">
        <v>13</v>
      </c>
      <c r="D60" s="22" t="s">
        <v>348</v>
      </c>
      <c r="E60" s="39">
        <v>5</v>
      </c>
      <c r="F60" s="12" t="s">
        <v>173</v>
      </c>
    </row>
    <row r="61" spans="3:6" x14ac:dyDescent="0.35">
      <c r="C61" s="14">
        <v>14</v>
      </c>
      <c r="D61" s="22" t="s">
        <v>348</v>
      </c>
      <c r="E61" s="38">
        <v>6</v>
      </c>
      <c r="F61" s="14" t="s">
        <v>176</v>
      </c>
    </row>
    <row r="62" spans="3:6" x14ac:dyDescent="0.35">
      <c r="C62" s="12">
        <v>15</v>
      </c>
      <c r="D62" s="22" t="s">
        <v>348</v>
      </c>
      <c r="E62" s="39">
        <v>8</v>
      </c>
      <c r="F62" s="12" t="s">
        <v>173</v>
      </c>
    </row>
    <row r="63" spans="3:6" x14ac:dyDescent="0.35">
      <c r="C63" s="14">
        <v>16</v>
      </c>
      <c r="D63" s="22" t="s">
        <v>348</v>
      </c>
      <c r="E63" s="38">
        <v>9</v>
      </c>
      <c r="F63" s="14" t="s">
        <v>173</v>
      </c>
    </row>
    <row r="64" spans="3:6" x14ac:dyDescent="0.35">
      <c r="C64" s="12">
        <v>17</v>
      </c>
      <c r="D64" s="22" t="s">
        <v>348</v>
      </c>
      <c r="E64" s="39">
        <v>9</v>
      </c>
      <c r="F64" s="12" t="s">
        <v>175</v>
      </c>
    </row>
    <row r="65" spans="3:6" x14ac:dyDescent="0.35">
      <c r="C65" s="14">
        <v>18</v>
      </c>
      <c r="D65" s="22" t="s">
        <v>348</v>
      </c>
      <c r="E65" s="38">
        <v>10</v>
      </c>
      <c r="F65" s="14" t="s">
        <v>175</v>
      </c>
    </row>
    <row r="66" spans="3:6" x14ac:dyDescent="0.35">
      <c r="C66" s="12">
        <v>19</v>
      </c>
      <c r="D66" s="22" t="s">
        <v>348</v>
      </c>
      <c r="E66" s="39">
        <v>10</v>
      </c>
      <c r="F66" s="12" t="s">
        <v>174</v>
      </c>
    </row>
    <row r="67" spans="3:6" x14ac:dyDescent="0.35">
      <c r="C67" s="14">
        <v>20</v>
      </c>
      <c r="D67" s="22" t="s">
        <v>348</v>
      </c>
      <c r="E67" s="38">
        <v>11</v>
      </c>
      <c r="F67" s="14" t="s">
        <v>173</v>
      </c>
    </row>
    <row r="68" spans="3:6" x14ac:dyDescent="0.35">
      <c r="C68" s="12">
        <v>21</v>
      </c>
      <c r="D68" s="22" t="s">
        <v>348</v>
      </c>
      <c r="E68" s="39">
        <v>12</v>
      </c>
      <c r="F68" s="12" t="s">
        <v>175</v>
      </c>
    </row>
    <row r="69" spans="3:6" x14ac:dyDescent="0.35">
      <c r="C69" s="14">
        <v>22</v>
      </c>
      <c r="D69" s="22" t="s">
        <v>348</v>
      </c>
      <c r="E69" s="38">
        <v>1</v>
      </c>
      <c r="F69" s="14" t="s">
        <v>176</v>
      </c>
    </row>
    <row r="70" spans="3:6" x14ac:dyDescent="0.35">
      <c r="C70" s="12">
        <v>23</v>
      </c>
      <c r="D70" s="22" t="s">
        <v>348</v>
      </c>
      <c r="E70" s="39">
        <v>2</v>
      </c>
      <c r="F70" s="12" t="s">
        <v>175</v>
      </c>
    </row>
    <row r="71" spans="3:6" x14ac:dyDescent="0.35">
      <c r="C71" s="12">
        <v>24</v>
      </c>
      <c r="D71" s="22" t="s">
        <v>348</v>
      </c>
      <c r="E71" s="39">
        <v>2</v>
      </c>
      <c r="F71" s="12" t="s">
        <v>174</v>
      </c>
    </row>
    <row r="72" spans="3:6" x14ac:dyDescent="0.35">
      <c r="C72" s="12">
        <v>25</v>
      </c>
      <c r="D72" s="12" t="s">
        <v>349</v>
      </c>
      <c r="E72" s="39">
        <v>12</v>
      </c>
      <c r="F72" s="12" t="s">
        <v>174</v>
      </c>
    </row>
    <row r="73" spans="3:6" x14ac:dyDescent="0.35">
      <c r="C73" s="12">
        <v>26</v>
      </c>
      <c r="D73" s="12" t="s">
        <v>349</v>
      </c>
      <c r="E73" s="39">
        <v>1</v>
      </c>
      <c r="F73" s="12" t="s">
        <v>175</v>
      </c>
    </row>
    <row r="74" spans="3:6" x14ac:dyDescent="0.35">
      <c r="C74" s="12">
        <v>27</v>
      </c>
      <c r="D74" s="12" t="s">
        <v>349</v>
      </c>
      <c r="E74" s="39">
        <v>1</v>
      </c>
      <c r="F74" s="12" t="s">
        <v>174</v>
      </c>
    </row>
    <row r="75" spans="3:6" x14ac:dyDescent="0.35">
      <c r="C75" s="12">
        <v>28</v>
      </c>
      <c r="D75" s="12" t="s">
        <v>349</v>
      </c>
      <c r="E75" s="39">
        <v>2</v>
      </c>
      <c r="F75" s="12" t="s">
        <v>175</v>
      </c>
    </row>
    <row r="76" spans="3:6" x14ac:dyDescent="0.35">
      <c r="C76" s="12">
        <v>29</v>
      </c>
      <c r="D76" s="12" t="s">
        <v>349</v>
      </c>
      <c r="E76" s="39">
        <v>2</v>
      </c>
      <c r="F76" s="12" t="s">
        <v>173</v>
      </c>
    </row>
    <row r="77" spans="3:6" x14ac:dyDescent="0.35">
      <c r="C77" s="12">
        <v>30</v>
      </c>
      <c r="D77" s="12" t="s">
        <v>349</v>
      </c>
      <c r="E77" s="39">
        <v>2</v>
      </c>
      <c r="F77" s="12" t="s">
        <v>174</v>
      </c>
    </row>
    <row r="78" spans="3:6" x14ac:dyDescent="0.35">
      <c r="C78" s="12">
        <v>31</v>
      </c>
      <c r="D78" s="12" t="s">
        <v>349</v>
      </c>
      <c r="E78" s="39">
        <v>2</v>
      </c>
      <c r="F78" s="14" t="s">
        <v>176</v>
      </c>
    </row>
    <row r="79" spans="3:6" x14ac:dyDescent="0.35">
      <c r="C79" s="12">
        <v>32</v>
      </c>
      <c r="D79" s="12" t="s">
        <v>349</v>
      </c>
      <c r="E79" s="39">
        <v>3</v>
      </c>
      <c r="F79" s="12" t="s">
        <v>173</v>
      </c>
    </row>
    <row r="80" spans="3:6" x14ac:dyDescent="0.35">
      <c r="C80" s="12">
        <v>33</v>
      </c>
      <c r="D80" s="12" t="s">
        <v>349</v>
      </c>
      <c r="E80" s="39">
        <v>3</v>
      </c>
      <c r="F80" s="12" t="s">
        <v>174</v>
      </c>
    </row>
    <row r="81" spans="3:6" x14ac:dyDescent="0.35">
      <c r="C81" s="12">
        <v>34</v>
      </c>
      <c r="D81" s="12" t="s">
        <v>349</v>
      </c>
      <c r="E81" s="39">
        <v>3</v>
      </c>
      <c r="F81" s="14" t="s">
        <v>176</v>
      </c>
    </row>
    <row r="82" spans="3:6" x14ac:dyDescent="0.35">
      <c r="C82" s="12">
        <v>35</v>
      </c>
      <c r="D82" s="12" t="s">
        <v>349</v>
      </c>
      <c r="E82" s="39">
        <v>4</v>
      </c>
      <c r="F82" s="12" t="s">
        <v>175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40A91-75CF-4AFB-9C93-2B74AFA3CB58}">
  <sheetPr codeName="Sheet4"/>
  <dimension ref="A1:I629"/>
  <sheetViews>
    <sheetView workbookViewId="0">
      <pane ySplit="1" topLeftCell="A620" activePane="bottomLeft" state="frozen"/>
      <selection pane="bottomLeft" activeCell="B1" sqref="B1"/>
    </sheetView>
  </sheetViews>
  <sheetFormatPr defaultRowHeight="14.5" x14ac:dyDescent="0.35"/>
  <cols>
    <col min="1" max="1" width="3.90625" bestFit="1" customWidth="1"/>
    <col min="2" max="2" width="6.90625" bestFit="1" customWidth="1"/>
    <col min="3" max="3" width="7.08984375" bestFit="1" customWidth="1"/>
    <col min="4" max="4" width="6.81640625" bestFit="1" customWidth="1"/>
    <col min="5" max="5" width="7.7265625" bestFit="1" customWidth="1"/>
    <col min="6" max="6" width="25.36328125" bestFit="1" customWidth="1"/>
    <col min="7" max="7" width="22.7265625" bestFit="1" customWidth="1"/>
    <col min="8" max="8" width="13.1796875" style="4" bestFit="1" customWidth="1"/>
    <col min="9" max="9" width="47" bestFit="1" customWidth="1"/>
  </cols>
  <sheetData>
    <row r="1" spans="1:9" x14ac:dyDescent="0.35">
      <c r="A1" s="1" t="s">
        <v>146</v>
      </c>
      <c r="B1" s="1" t="s">
        <v>196</v>
      </c>
      <c r="C1" s="1" t="s">
        <v>395</v>
      </c>
      <c r="D1" s="1" t="s">
        <v>136</v>
      </c>
      <c r="E1" s="1" t="s">
        <v>347</v>
      </c>
      <c r="F1" s="1" t="s">
        <v>150</v>
      </c>
      <c r="G1" s="1" t="s">
        <v>136</v>
      </c>
      <c r="H1" s="6" t="s">
        <v>151</v>
      </c>
      <c r="I1" s="1" t="s">
        <v>216</v>
      </c>
    </row>
    <row r="2" spans="1:9" x14ac:dyDescent="0.35">
      <c r="A2" s="8">
        <v>1</v>
      </c>
      <c r="B2" s="8">
        <v>2015</v>
      </c>
      <c r="C2" s="8">
        <v>8</v>
      </c>
      <c r="D2" s="8" t="s">
        <v>173</v>
      </c>
      <c r="E2" s="8" t="s">
        <v>348</v>
      </c>
      <c r="F2" t="s">
        <v>352</v>
      </c>
      <c r="G2" t="s">
        <v>0</v>
      </c>
      <c r="H2" s="4">
        <v>2</v>
      </c>
      <c r="I2" t="str">
        <f>CONCATENATE(F2,G2)</f>
        <v>Narcine brasiliensisBrazilian Electric Ray</v>
      </c>
    </row>
    <row r="3" spans="1:9" x14ac:dyDescent="0.35">
      <c r="A3" s="8">
        <v>1</v>
      </c>
      <c r="B3" s="8">
        <v>2015</v>
      </c>
      <c r="C3" s="8">
        <v>8</v>
      </c>
      <c r="D3" s="8" t="s">
        <v>173</v>
      </c>
      <c r="E3" s="8" t="s">
        <v>348</v>
      </c>
      <c r="F3" t="s">
        <v>1</v>
      </c>
      <c r="G3" t="s">
        <v>291</v>
      </c>
      <c r="H3" s="4">
        <v>126</v>
      </c>
      <c r="I3" t="str">
        <f t="shared" ref="I3:I66" si="0">CONCATENATE(F3,G3)</f>
        <v>Dastyis guttataLongnose stingray</v>
      </c>
    </row>
    <row r="4" spans="1:9" x14ac:dyDescent="0.35">
      <c r="A4" s="8">
        <v>1</v>
      </c>
      <c r="B4" s="8">
        <v>2015</v>
      </c>
      <c r="C4" s="8">
        <v>8</v>
      </c>
      <c r="D4" s="8" t="s">
        <v>173</v>
      </c>
      <c r="E4" s="8" t="s">
        <v>348</v>
      </c>
      <c r="F4" t="s">
        <v>355</v>
      </c>
      <c r="G4" t="s">
        <v>356</v>
      </c>
      <c r="H4" s="4">
        <v>7</v>
      </c>
      <c r="I4" t="str">
        <f t="shared" si="0"/>
        <v>Pseduobatos percellensChola guitarfish</v>
      </c>
    </row>
    <row r="5" spans="1:9" x14ac:dyDescent="0.35">
      <c r="A5" s="8">
        <v>1</v>
      </c>
      <c r="B5" s="8">
        <v>2015</v>
      </c>
      <c r="C5" s="8">
        <v>8</v>
      </c>
      <c r="D5" s="8" t="s">
        <v>173</v>
      </c>
      <c r="E5" s="8" t="s">
        <v>348</v>
      </c>
      <c r="F5" t="s">
        <v>2</v>
      </c>
      <c r="G5" t="s">
        <v>307</v>
      </c>
      <c r="H5" s="4">
        <v>17.5</v>
      </c>
      <c r="I5" t="str">
        <f t="shared" si="0"/>
        <v>Gymnura micruraButterfly stingray</v>
      </c>
    </row>
    <row r="6" spans="1:9" x14ac:dyDescent="0.35">
      <c r="A6" s="8">
        <v>1</v>
      </c>
      <c r="B6" s="8">
        <v>2015</v>
      </c>
      <c r="C6" s="8">
        <v>8</v>
      </c>
      <c r="D6" s="8" t="s">
        <v>173</v>
      </c>
      <c r="E6" s="8" t="s">
        <v>348</v>
      </c>
      <c r="F6" t="s">
        <v>5</v>
      </c>
      <c r="G6" t="s">
        <v>4</v>
      </c>
      <c r="H6" s="4">
        <v>2</v>
      </c>
      <c r="I6" t="str">
        <f t="shared" si="0"/>
        <v>Bagre bagreCatfish</v>
      </c>
    </row>
    <row r="7" spans="1:9" x14ac:dyDescent="0.35">
      <c r="A7" s="8">
        <v>1</v>
      </c>
      <c r="B7" s="8">
        <v>2015</v>
      </c>
      <c r="C7" s="8">
        <v>8</v>
      </c>
      <c r="D7" s="8" t="s">
        <v>173</v>
      </c>
      <c r="E7" s="8" t="s">
        <v>348</v>
      </c>
      <c r="F7" t="s">
        <v>36</v>
      </c>
      <c r="G7" t="s">
        <v>33</v>
      </c>
      <c r="H7" s="4">
        <v>2</v>
      </c>
      <c r="I7" t="str">
        <f t="shared" si="0"/>
        <v>Aridae (G) ariusSpring Cuirass</v>
      </c>
    </row>
    <row r="8" spans="1:9" x14ac:dyDescent="0.35">
      <c r="A8" s="8">
        <v>1</v>
      </c>
      <c r="B8" s="8">
        <v>2015</v>
      </c>
      <c r="C8" s="8">
        <v>8</v>
      </c>
      <c r="D8" s="8" t="s">
        <v>173</v>
      </c>
      <c r="E8" s="8" t="s">
        <v>348</v>
      </c>
      <c r="F8" t="s">
        <v>6</v>
      </c>
      <c r="G8" t="s">
        <v>37</v>
      </c>
      <c r="H8" s="4">
        <v>5</v>
      </c>
      <c r="I8" t="str">
        <f t="shared" si="0"/>
        <v>Symphurus plagusiaTongue fish</v>
      </c>
    </row>
    <row r="9" spans="1:9" x14ac:dyDescent="0.35">
      <c r="A9" s="8">
        <v>1</v>
      </c>
      <c r="B9" s="8">
        <v>2015</v>
      </c>
      <c r="C9" s="8">
        <v>8</v>
      </c>
      <c r="D9" s="8" t="s">
        <v>173</v>
      </c>
      <c r="E9" s="8" t="s">
        <v>348</v>
      </c>
      <c r="F9" t="s">
        <v>7</v>
      </c>
      <c r="G9" t="s">
        <v>8</v>
      </c>
      <c r="H9" s="4">
        <v>5.5066079295154183E-2</v>
      </c>
      <c r="I9" t="str">
        <f t="shared" si="0"/>
        <v>Achirus achirusDrab Sole</v>
      </c>
    </row>
    <row r="10" spans="1:9" x14ac:dyDescent="0.35">
      <c r="A10" s="8">
        <v>1</v>
      </c>
      <c r="B10" s="8">
        <v>2015</v>
      </c>
      <c r="C10" s="8">
        <v>8</v>
      </c>
      <c r="D10" s="8" t="s">
        <v>173</v>
      </c>
      <c r="E10" s="8" t="s">
        <v>348</v>
      </c>
      <c r="F10" t="s">
        <v>9</v>
      </c>
      <c r="G10" t="s">
        <v>215</v>
      </c>
      <c r="H10" s="4">
        <v>0.44052863436123346</v>
      </c>
      <c r="I10" t="str">
        <f t="shared" si="0"/>
        <v>Acha hepsetusBroad Striped Anchovy</v>
      </c>
    </row>
    <row r="11" spans="1:9" x14ac:dyDescent="0.35">
      <c r="A11" s="8">
        <v>1</v>
      </c>
      <c r="B11" s="8">
        <v>2015</v>
      </c>
      <c r="C11" s="8">
        <v>8</v>
      </c>
      <c r="D11" s="8" t="s">
        <v>173</v>
      </c>
      <c r="E11" s="8" t="s">
        <v>348</v>
      </c>
      <c r="F11" t="s">
        <v>41</v>
      </c>
      <c r="G11" t="s">
        <v>10</v>
      </c>
      <c r="H11" s="4">
        <v>81</v>
      </c>
      <c r="I11" t="str">
        <f t="shared" si="0"/>
        <v>Chaetodipterus faberSea Donkey</v>
      </c>
    </row>
    <row r="12" spans="1:9" x14ac:dyDescent="0.35">
      <c r="A12" s="8">
        <v>1</v>
      </c>
      <c r="B12" s="8">
        <v>2015</v>
      </c>
      <c r="C12" s="8">
        <v>8</v>
      </c>
      <c r="D12" s="8" t="s">
        <v>173</v>
      </c>
      <c r="E12" s="8" t="s">
        <v>348</v>
      </c>
      <c r="F12" t="s">
        <v>11</v>
      </c>
      <c r="G12" t="s">
        <v>282</v>
      </c>
      <c r="H12" s="4">
        <v>2</v>
      </c>
      <c r="I12" t="str">
        <f t="shared" si="0"/>
        <v>Centropomus pectinatus Chinese snook</v>
      </c>
    </row>
    <row r="13" spans="1:9" x14ac:dyDescent="0.35">
      <c r="A13" s="8">
        <v>1</v>
      </c>
      <c r="B13" s="8">
        <v>2015</v>
      </c>
      <c r="C13" s="8">
        <v>8</v>
      </c>
      <c r="D13" s="8" t="s">
        <v>173</v>
      </c>
      <c r="E13" s="8" t="s">
        <v>348</v>
      </c>
      <c r="F13" t="s">
        <v>350</v>
      </c>
      <c r="G13" t="s">
        <v>12</v>
      </c>
      <c r="H13" s="4">
        <v>0.66079295154185025</v>
      </c>
      <c r="I13" t="str">
        <f t="shared" si="0"/>
        <v>Batrachoides  surinamensisPacu</v>
      </c>
    </row>
    <row r="14" spans="1:9" x14ac:dyDescent="0.35">
      <c r="A14" s="8">
        <v>1</v>
      </c>
      <c r="B14" s="8">
        <v>2015</v>
      </c>
      <c r="C14" s="8">
        <v>8</v>
      </c>
      <c r="D14" s="8" t="s">
        <v>173</v>
      </c>
      <c r="E14" s="8" t="s">
        <v>348</v>
      </c>
      <c r="F14" t="s">
        <v>283</v>
      </c>
      <c r="G14" t="s">
        <v>284</v>
      </c>
      <c r="H14" s="4">
        <v>51</v>
      </c>
      <c r="I14" t="str">
        <f t="shared" si="0"/>
        <v>Paralonchurus braziliensisBanded croaker</v>
      </c>
    </row>
    <row r="15" spans="1:9" x14ac:dyDescent="0.35">
      <c r="A15" s="8">
        <v>1</v>
      </c>
      <c r="B15" s="8">
        <v>2015</v>
      </c>
      <c r="C15" s="8">
        <v>8</v>
      </c>
      <c r="D15" s="8" t="s">
        <v>173</v>
      </c>
      <c r="E15" s="8" t="s">
        <v>348</v>
      </c>
      <c r="F15" t="s">
        <v>13</v>
      </c>
      <c r="G15" t="s">
        <v>14</v>
      </c>
      <c r="H15" s="4">
        <v>5.9471365638766517E-2</v>
      </c>
      <c r="I15" t="str">
        <f t="shared" si="0"/>
        <v>Harengula jaguanaHerring</v>
      </c>
    </row>
    <row r="16" spans="1:9" x14ac:dyDescent="0.35">
      <c r="A16" s="8">
        <v>1</v>
      </c>
      <c r="B16" s="8">
        <v>2015</v>
      </c>
      <c r="C16" s="8">
        <v>8</v>
      </c>
      <c r="D16" s="8" t="s">
        <v>173</v>
      </c>
      <c r="E16" s="8" t="s">
        <v>348</v>
      </c>
      <c r="F16" t="s">
        <v>15</v>
      </c>
      <c r="G16" t="s">
        <v>16</v>
      </c>
      <c r="H16" s="4">
        <v>1</v>
      </c>
      <c r="I16" t="str">
        <f t="shared" si="0"/>
        <v>Nebris micropsButterfish</v>
      </c>
    </row>
    <row r="17" spans="1:9" x14ac:dyDescent="0.35">
      <c r="A17" s="8">
        <v>1</v>
      </c>
      <c r="B17" s="8">
        <v>2015</v>
      </c>
      <c r="C17" s="8">
        <v>8</v>
      </c>
      <c r="D17" s="8" t="s">
        <v>173</v>
      </c>
      <c r="E17" s="8" t="s">
        <v>348</v>
      </c>
      <c r="F17" t="s">
        <v>17</v>
      </c>
      <c r="G17" t="s">
        <v>34</v>
      </c>
      <c r="H17" s="4">
        <v>20</v>
      </c>
      <c r="I17" t="str">
        <f t="shared" si="0"/>
        <v>Larimus brevicepsSilver Snapper</v>
      </c>
    </row>
    <row r="18" spans="1:9" x14ac:dyDescent="0.35">
      <c r="A18" s="8">
        <v>1</v>
      </c>
      <c r="B18" s="8">
        <v>2015</v>
      </c>
      <c r="C18" s="8">
        <v>8</v>
      </c>
      <c r="D18" s="8" t="s">
        <v>173</v>
      </c>
      <c r="E18" s="8" t="s">
        <v>348</v>
      </c>
      <c r="F18" t="s">
        <v>40</v>
      </c>
      <c r="G18" t="s">
        <v>35</v>
      </c>
      <c r="H18" s="4">
        <v>2</v>
      </c>
      <c r="I18" t="str">
        <f t="shared" si="0"/>
        <v>Macrodon ancylodonBangamary</v>
      </c>
    </row>
    <row r="19" spans="1:9" x14ac:dyDescent="0.35">
      <c r="A19" s="8">
        <v>1</v>
      </c>
      <c r="B19" s="8">
        <v>2015</v>
      </c>
      <c r="C19" s="8">
        <v>8</v>
      </c>
      <c r="D19" s="8" t="s">
        <v>173</v>
      </c>
      <c r="E19" s="8" t="s">
        <v>348</v>
      </c>
      <c r="F19" t="s">
        <v>18</v>
      </c>
      <c r="G19" t="s">
        <v>81</v>
      </c>
      <c r="H19" s="4">
        <v>1</v>
      </c>
      <c r="I19" t="str">
        <f t="shared" si="0"/>
        <v>Genyatremus leteusAnnafolk</v>
      </c>
    </row>
    <row r="20" spans="1:9" x14ac:dyDescent="0.35">
      <c r="A20" s="8">
        <v>1</v>
      </c>
      <c r="B20" s="8">
        <v>2015</v>
      </c>
      <c r="C20" s="8">
        <v>8</v>
      </c>
      <c r="D20" s="8" t="s">
        <v>173</v>
      </c>
      <c r="E20" s="8" t="s">
        <v>348</v>
      </c>
      <c r="F20" t="s">
        <v>19</v>
      </c>
      <c r="G20" t="s">
        <v>20</v>
      </c>
      <c r="H20" s="4">
        <v>1</v>
      </c>
      <c r="I20" t="str">
        <f t="shared" si="0"/>
        <v>Isopisthus  parvipinnisShort Fin Corvina</v>
      </c>
    </row>
    <row r="21" spans="1:9" x14ac:dyDescent="0.35">
      <c r="A21" s="8">
        <v>1</v>
      </c>
      <c r="B21" s="8">
        <v>2015</v>
      </c>
      <c r="C21" s="8">
        <v>8</v>
      </c>
      <c r="D21" s="8" t="s">
        <v>173</v>
      </c>
      <c r="E21" s="8" t="s">
        <v>348</v>
      </c>
      <c r="F21" t="s">
        <v>21</v>
      </c>
      <c r="G21" t="s">
        <v>59</v>
      </c>
      <c r="H21" s="4">
        <v>1</v>
      </c>
      <c r="I21" t="str">
        <f t="shared" si="0"/>
        <v>Stellifer micropsRockhead</v>
      </c>
    </row>
    <row r="22" spans="1:9" x14ac:dyDescent="0.35">
      <c r="A22" s="8">
        <v>1</v>
      </c>
      <c r="B22" s="8">
        <v>2015</v>
      </c>
      <c r="C22" s="8">
        <v>8</v>
      </c>
      <c r="D22" s="8" t="s">
        <v>173</v>
      </c>
      <c r="E22" s="8" t="s">
        <v>348</v>
      </c>
      <c r="F22" t="s">
        <v>22</v>
      </c>
      <c r="G22" t="s">
        <v>123</v>
      </c>
      <c r="H22" s="4">
        <v>5</v>
      </c>
      <c r="I22" t="str">
        <f t="shared" si="0"/>
        <v>Menticirrhus americanusSouthern Kingcroaker</v>
      </c>
    </row>
    <row r="23" spans="1:9" x14ac:dyDescent="0.35">
      <c r="A23" s="8">
        <v>1</v>
      </c>
      <c r="B23" s="8">
        <v>2015</v>
      </c>
      <c r="C23" s="8">
        <v>8</v>
      </c>
      <c r="D23" s="8" t="s">
        <v>173</v>
      </c>
      <c r="E23" s="8" t="s">
        <v>348</v>
      </c>
      <c r="F23" t="s">
        <v>23</v>
      </c>
      <c r="G23" t="s">
        <v>24</v>
      </c>
      <c r="H23" s="4">
        <v>5</v>
      </c>
      <c r="I23" t="str">
        <f t="shared" si="0"/>
        <v>Sphorades testudineusGreen Puffer</v>
      </c>
    </row>
    <row r="24" spans="1:9" x14ac:dyDescent="0.35">
      <c r="A24" s="8">
        <v>1</v>
      </c>
      <c r="B24" s="8">
        <v>2015</v>
      </c>
      <c r="C24" s="8">
        <v>8</v>
      </c>
      <c r="D24" s="8" t="s">
        <v>173</v>
      </c>
      <c r="E24" s="8" t="s">
        <v>348</v>
      </c>
      <c r="F24" t="s">
        <v>39</v>
      </c>
      <c r="G24" t="s">
        <v>38</v>
      </c>
      <c r="H24" s="4">
        <v>2</v>
      </c>
      <c r="I24" t="str">
        <f t="shared" si="0"/>
        <v>Colomesus psittacusBanded Puffer</v>
      </c>
    </row>
    <row r="25" spans="1:9" x14ac:dyDescent="0.35">
      <c r="A25" s="8">
        <v>1</v>
      </c>
      <c r="B25" s="8">
        <v>2015</v>
      </c>
      <c r="C25" s="8">
        <v>8</v>
      </c>
      <c r="D25" s="8" t="s">
        <v>173</v>
      </c>
      <c r="E25" s="8" t="s">
        <v>348</v>
      </c>
      <c r="F25" t="s">
        <v>25</v>
      </c>
      <c r="G25" t="s">
        <v>26</v>
      </c>
      <c r="H25" s="4">
        <v>0.22026431718061673</v>
      </c>
      <c r="I25" t="str">
        <f t="shared" si="0"/>
        <v>Laligo laligoSquid Laligo</v>
      </c>
    </row>
    <row r="26" spans="1:9" x14ac:dyDescent="0.35">
      <c r="A26" s="8">
        <v>1</v>
      </c>
      <c r="B26" s="8">
        <v>2015</v>
      </c>
      <c r="C26" s="8">
        <v>8</v>
      </c>
      <c r="D26" s="8" t="s">
        <v>173</v>
      </c>
      <c r="E26" s="8" t="s">
        <v>348</v>
      </c>
      <c r="F26" t="s">
        <v>3</v>
      </c>
      <c r="G26" t="s">
        <v>32</v>
      </c>
      <c r="H26" s="4">
        <v>1</v>
      </c>
      <c r="I26" t="str">
        <f t="shared" si="0"/>
        <v>Ophichtus gomesiShrimp Eel</v>
      </c>
    </row>
    <row r="27" spans="1:9" x14ac:dyDescent="0.35">
      <c r="A27" s="8">
        <v>1</v>
      </c>
      <c r="B27" s="8">
        <v>2015</v>
      </c>
      <c r="C27" s="8">
        <v>8</v>
      </c>
      <c r="D27" s="8" t="s">
        <v>173</v>
      </c>
      <c r="E27" s="8" t="s">
        <v>348</v>
      </c>
      <c r="F27" t="s">
        <v>27</v>
      </c>
      <c r="G27" t="s">
        <v>28</v>
      </c>
      <c r="H27" s="4">
        <v>1</v>
      </c>
      <c r="I27" t="str">
        <f t="shared" si="0"/>
        <v>Penaeus  notialisWhite Prawns</v>
      </c>
    </row>
    <row r="28" spans="1:9" x14ac:dyDescent="0.35">
      <c r="A28" s="8">
        <v>1</v>
      </c>
      <c r="B28" s="8">
        <v>2015</v>
      </c>
      <c r="C28" s="8">
        <v>8</v>
      </c>
      <c r="D28" s="8" t="s">
        <v>173</v>
      </c>
      <c r="E28" s="8" t="s">
        <v>348</v>
      </c>
      <c r="F28" t="s">
        <v>219</v>
      </c>
      <c r="G28" t="s">
        <v>29</v>
      </c>
      <c r="H28" s="4">
        <v>5</v>
      </c>
      <c r="I28" t="str">
        <f t="shared" si="0"/>
        <v>Penaeus brazillensisBrown Prawns</v>
      </c>
    </row>
    <row r="29" spans="1:9" x14ac:dyDescent="0.35">
      <c r="A29" s="8">
        <v>1</v>
      </c>
      <c r="B29" s="8">
        <v>2015</v>
      </c>
      <c r="C29" s="8">
        <v>8</v>
      </c>
      <c r="D29" s="8" t="s">
        <v>173</v>
      </c>
      <c r="E29" s="8" t="s">
        <v>348</v>
      </c>
      <c r="F29" t="s">
        <v>30</v>
      </c>
      <c r="G29" t="s">
        <v>31</v>
      </c>
      <c r="H29" s="4">
        <v>6.35</v>
      </c>
      <c r="I29" t="str">
        <f t="shared" si="0"/>
        <v>Mithrax  spinosissimisChannel Clinging Crab</v>
      </c>
    </row>
    <row r="30" spans="1:9" x14ac:dyDescent="0.35">
      <c r="A30" s="8">
        <v>2</v>
      </c>
      <c r="B30" s="8">
        <v>2015</v>
      </c>
      <c r="C30" s="8">
        <v>9</v>
      </c>
      <c r="D30" s="8" t="s">
        <v>174</v>
      </c>
      <c r="E30" s="8" t="s">
        <v>348</v>
      </c>
      <c r="F30" t="s">
        <v>1</v>
      </c>
      <c r="G30" t="s">
        <v>291</v>
      </c>
      <c r="H30" s="4">
        <v>66.484375</v>
      </c>
      <c r="I30" t="str">
        <f t="shared" si="0"/>
        <v>Dastyis guttataLongnose stingray</v>
      </c>
    </row>
    <row r="31" spans="1:9" x14ac:dyDescent="0.35">
      <c r="A31" s="8">
        <v>2</v>
      </c>
      <c r="B31" s="8">
        <v>2015</v>
      </c>
      <c r="C31" s="8">
        <v>9</v>
      </c>
      <c r="D31" s="8" t="s">
        <v>174</v>
      </c>
      <c r="E31" s="8" t="s">
        <v>348</v>
      </c>
      <c r="F31" t="s">
        <v>355</v>
      </c>
      <c r="G31" t="s">
        <v>356</v>
      </c>
      <c r="H31" s="4">
        <v>8.984375</v>
      </c>
      <c r="I31" t="str">
        <f t="shared" si="0"/>
        <v>Pseduobatos percellensChola guitarfish</v>
      </c>
    </row>
    <row r="32" spans="1:9" x14ac:dyDescent="0.35">
      <c r="A32" s="8">
        <v>2</v>
      </c>
      <c r="B32" s="8">
        <v>2015</v>
      </c>
      <c r="C32" s="8">
        <v>9</v>
      </c>
      <c r="D32" s="8" t="s">
        <v>174</v>
      </c>
      <c r="E32" s="8" t="s">
        <v>348</v>
      </c>
      <c r="F32" t="s">
        <v>2</v>
      </c>
      <c r="G32" t="s">
        <v>307</v>
      </c>
      <c r="H32" s="4">
        <v>1.8602009911894275</v>
      </c>
      <c r="I32" t="str">
        <f t="shared" si="0"/>
        <v>Gymnura micruraButterfly stingray</v>
      </c>
    </row>
    <row r="33" spans="1:9" x14ac:dyDescent="0.35">
      <c r="A33" s="8">
        <v>2</v>
      </c>
      <c r="B33" s="8">
        <v>2015</v>
      </c>
      <c r="C33" s="8">
        <v>9</v>
      </c>
      <c r="D33" s="8" t="s">
        <v>174</v>
      </c>
      <c r="E33" s="8" t="s">
        <v>348</v>
      </c>
      <c r="F33" t="s">
        <v>5</v>
      </c>
      <c r="G33" t="s">
        <v>4</v>
      </c>
      <c r="H33" s="4">
        <v>1.583149779735683E-2</v>
      </c>
      <c r="I33" t="str">
        <f t="shared" si="0"/>
        <v>Bagre bagreCatfish</v>
      </c>
    </row>
    <row r="34" spans="1:9" x14ac:dyDescent="0.35">
      <c r="A34" s="8">
        <v>2</v>
      </c>
      <c r="B34" s="8">
        <v>2015</v>
      </c>
      <c r="C34" s="8">
        <v>9</v>
      </c>
      <c r="D34" s="8" t="s">
        <v>174</v>
      </c>
      <c r="E34" s="8" t="s">
        <v>348</v>
      </c>
      <c r="F34" t="s">
        <v>36</v>
      </c>
      <c r="G34" t="s">
        <v>33</v>
      </c>
      <c r="H34" s="4">
        <v>2.24609375</v>
      </c>
      <c r="I34" t="str">
        <f t="shared" si="0"/>
        <v>Aridae (G) ariusSpring Cuirass</v>
      </c>
    </row>
    <row r="35" spans="1:9" x14ac:dyDescent="0.35">
      <c r="A35" s="8">
        <v>2</v>
      </c>
      <c r="B35" s="8">
        <v>2015</v>
      </c>
      <c r="C35" s="8">
        <v>9</v>
      </c>
      <c r="D35" s="8" t="s">
        <v>174</v>
      </c>
      <c r="E35" s="8" t="s">
        <v>348</v>
      </c>
      <c r="F35" t="s">
        <v>6</v>
      </c>
      <c r="G35" t="s">
        <v>37</v>
      </c>
      <c r="H35" s="4">
        <v>8.984375</v>
      </c>
      <c r="I35" t="str">
        <f t="shared" si="0"/>
        <v>Symphurus plagusiaTongue fish</v>
      </c>
    </row>
    <row r="36" spans="1:9" x14ac:dyDescent="0.35">
      <c r="A36" s="8">
        <v>2</v>
      </c>
      <c r="B36" s="8">
        <v>2015</v>
      </c>
      <c r="C36" s="8">
        <v>9</v>
      </c>
      <c r="D36" s="8" t="s">
        <v>174</v>
      </c>
      <c r="E36" s="8" t="s">
        <v>348</v>
      </c>
      <c r="F36" t="s">
        <v>48</v>
      </c>
      <c r="G36" t="s">
        <v>217</v>
      </c>
      <c r="H36" s="4">
        <v>0.8984375</v>
      </c>
      <c r="I36" t="str">
        <f t="shared" si="0"/>
        <v>Trinectes paulistanusSlipper sole</v>
      </c>
    </row>
    <row r="37" spans="1:9" x14ac:dyDescent="0.35">
      <c r="A37" s="8">
        <v>2</v>
      </c>
      <c r="B37" s="8">
        <v>2015</v>
      </c>
      <c r="C37" s="8">
        <v>9</v>
      </c>
      <c r="D37" s="8" t="s">
        <v>174</v>
      </c>
      <c r="E37" s="8" t="s">
        <v>348</v>
      </c>
      <c r="F37" t="s">
        <v>47</v>
      </c>
      <c r="G37" t="s">
        <v>218</v>
      </c>
      <c r="H37" s="4">
        <v>0.8984375</v>
      </c>
      <c r="I37" t="str">
        <f t="shared" si="0"/>
        <v>Etropus crossotusFringed flounder</v>
      </c>
    </row>
    <row r="38" spans="1:9" x14ac:dyDescent="0.35">
      <c r="A38" s="8">
        <v>2</v>
      </c>
      <c r="B38" s="8">
        <v>2015</v>
      </c>
      <c r="C38" s="8">
        <v>9</v>
      </c>
      <c r="D38" s="8" t="s">
        <v>174</v>
      </c>
      <c r="E38" s="8" t="s">
        <v>348</v>
      </c>
      <c r="F38" t="s">
        <v>51</v>
      </c>
      <c r="G38" t="s">
        <v>52</v>
      </c>
      <c r="H38" s="4">
        <v>98.828125</v>
      </c>
      <c r="I38" t="str">
        <f t="shared" si="0"/>
        <v xml:space="preserve">Stellifer lanceolatusDrum </v>
      </c>
    </row>
    <row r="39" spans="1:9" x14ac:dyDescent="0.35">
      <c r="A39" s="8">
        <v>2</v>
      </c>
      <c r="B39" s="8">
        <v>2015</v>
      </c>
      <c r="C39" s="8">
        <v>9</v>
      </c>
      <c r="D39" s="8" t="s">
        <v>174</v>
      </c>
      <c r="E39" s="8" t="s">
        <v>348</v>
      </c>
      <c r="F39" t="s">
        <v>42</v>
      </c>
      <c r="G39" t="s">
        <v>126</v>
      </c>
      <c r="H39" s="4">
        <v>3.6056236233480181</v>
      </c>
      <c r="I39" t="str">
        <f t="shared" si="0"/>
        <v>Paralonchurus  elegansChinese Butterfish</v>
      </c>
    </row>
    <row r="40" spans="1:9" x14ac:dyDescent="0.35">
      <c r="A40" s="8">
        <v>2</v>
      </c>
      <c r="B40" s="8">
        <v>2015</v>
      </c>
      <c r="C40" s="8">
        <v>9</v>
      </c>
      <c r="D40" s="8" t="s">
        <v>174</v>
      </c>
      <c r="E40" s="8" t="s">
        <v>348</v>
      </c>
      <c r="F40" t="s">
        <v>43</v>
      </c>
      <c r="G40" t="s">
        <v>57</v>
      </c>
      <c r="H40" s="4">
        <v>1.8799903634361232</v>
      </c>
      <c r="I40" t="str">
        <f t="shared" si="0"/>
        <v>Cynoscion virescensSeatrout</v>
      </c>
    </row>
    <row r="41" spans="1:9" x14ac:dyDescent="0.35">
      <c r="A41" s="8">
        <v>2</v>
      </c>
      <c r="B41" s="8">
        <v>2015</v>
      </c>
      <c r="C41" s="8">
        <v>9</v>
      </c>
      <c r="D41" s="8" t="s">
        <v>174</v>
      </c>
      <c r="E41" s="8" t="s">
        <v>348</v>
      </c>
      <c r="F41" t="s">
        <v>350</v>
      </c>
      <c r="G41" t="s">
        <v>12</v>
      </c>
      <c r="H41" s="4">
        <v>1.2942249449339207</v>
      </c>
      <c r="I41" t="str">
        <f t="shared" si="0"/>
        <v>Batrachoides  surinamensisPacu</v>
      </c>
    </row>
    <row r="42" spans="1:9" x14ac:dyDescent="0.35">
      <c r="A42" s="8">
        <v>2</v>
      </c>
      <c r="B42" s="8">
        <v>2015</v>
      </c>
      <c r="C42" s="8">
        <v>9</v>
      </c>
      <c r="D42" s="8" t="s">
        <v>174</v>
      </c>
      <c r="E42" s="8" t="s">
        <v>348</v>
      </c>
      <c r="F42" t="s">
        <v>283</v>
      </c>
      <c r="G42" t="s">
        <v>284</v>
      </c>
      <c r="H42" s="4">
        <v>44.921875</v>
      </c>
      <c r="I42" t="str">
        <f t="shared" si="0"/>
        <v>Paralonchurus braziliensisBanded croaker</v>
      </c>
    </row>
    <row r="43" spans="1:9" x14ac:dyDescent="0.35">
      <c r="A43" s="8">
        <v>2</v>
      </c>
      <c r="B43" s="8">
        <v>2015</v>
      </c>
      <c r="C43" s="8">
        <v>9</v>
      </c>
      <c r="D43" s="8" t="s">
        <v>174</v>
      </c>
      <c r="E43" s="8" t="s">
        <v>348</v>
      </c>
      <c r="F43" t="s">
        <v>49</v>
      </c>
      <c r="G43" t="s">
        <v>354</v>
      </c>
      <c r="H43" s="4">
        <v>0.32850357929515417</v>
      </c>
      <c r="I43" t="str">
        <f t="shared" si="0"/>
        <v>Polydactylus virginicusBeard fish</v>
      </c>
    </row>
    <row r="44" spans="1:9" x14ac:dyDescent="0.35">
      <c r="A44" s="8">
        <v>2</v>
      </c>
      <c r="B44" s="8">
        <v>2015</v>
      </c>
      <c r="C44" s="8">
        <v>9</v>
      </c>
      <c r="D44" s="8" t="s">
        <v>174</v>
      </c>
      <c r="E44" s="8" t="s">
        <v>348</v>
      </c>
      <c r="F44" t="s">
        <v>15</v>
      </c>
      <c r="G44" t="s">
        <v>16</v>
      </c>
      <c r="H44" s="4">
        <v>3.59375</v>
      </c>
      <c r="I44" t="str">
        <f t="shared" si="0"/>
        <v>Nebris micropsButterfish</v>
      </c>
    </row>
    <row r="45" spans="1:9" x14ac:dyDescent="0.35">
      <c r="A45" s="8">
        <v>2</v>
      </c>
      <c r="B45" s="8">
        <v>2015</v>
      </c>
      <c r="C45" s="8">
        <v>9</v>
      </c>
      <c r="D45" s="8" t="s">
        <v>174</v>
      </c>
      <c r="E45" s="8" t="s">
        <v>348</v>
      </c>
      <c r="F45" t="s">
        <v>17</v>
      </c>
      <c r="G45" t="s">
        <v>34</v>
      </c>
      <c r="H45" s="4">
        <v>44.921875</v>
      </c>
      <c r="I45" t="str">
        <f t="shared" si="0"/>
        <v>Larimus brevicepsSilver Snapper</v>
      </c>
    </row>
    <row r="46" spans="1:9" x14ac:dyDescent="0.35">
      <c r="A46" s="8">
        <v>2</v>
      </c>
      <c r="B46" s="8">
        <v>2015</v>
      </c>
      <c r="C46" s="8">
        <v>9</v>
      </c>
      <c r="D46" s="8" t="s">
        <v>174</v>
      </c>
      <c r="E46" s="8" t="s">
        <v>348</v>
      </c>
      <c r="F46" t="s">
        <v>40</v>
      </c>
      <c r="G46" t="s">
        <v>35</v>
      </c>
      <c r="H46" s="4">
        <v>44.921875</v>
      </c>
      <c r="I46" t="str">
        <f t="shared" si="0"/>
        <v>Macrodon ancylodonBangamary</v>
      </c>
    </row>
    <row r="47" spans="1:9" x14ac:dyDescent="0.35">
      <c r="A47" s="8">
        <v>2</v>
      </c>
      <c r="B47" s="8">
        <v>2015</v>
      </c>
      <c r="C47" s="8">
        <v>9</v>
      </c>
      <c r="D47" s="8" t="s">
        <v>174</v>
      </c>
      <c r="E47" s="8" t="s">
        <v>348</v>
      </c>
      <c r="F47" t="s">
        <v>18</v>
      </c>
      <c r="G47" t="s">
        <v>81</v>
      </c>
      <c r="H47" s="4">
        <v>2.7705121145374451E-2</v>
      </c>
      <c r="I47" t="str">
        <f t="shared" si="0"/>
        <v>Genyatremus leteusAnnafolk</v>
      </c>
    </row>
    <row r="48" spans="1:9" x14ac:dyDescent="0.35">
      <c r="A48" s="8">
        <v>2</v>
      </c>
      <c r="B48" s="8">
        <v>2015</v>
      </c>
      <c r="C48" s="8">
        <v>9</v>
      </c>
      <c r="D48" s="8" t="s">
        <v>174</v>
      </c>
      <c r="E48" s="8" t="s">
        <v>348</v>
      </c>
      <c r="F48" t="s">
        <v>50</v>
      </c>
      <c r="G48" t="s">
        <v>56</v>
      </c>
      <c r="H48" s="4">
        <v>0.41953469162995599</v>
      </c>
      <c r="I48" t="str">
        <f t="shared" si="0"/>
        <v>Trichiurus lepturusSilverbelt</v>
      </c>
    </row>
    <row r="49" spans="1:9" x14ac:dyDescent="0.35">
      <c r="A49" s="8">
        <v>2</v>
      </c>
      <c r="B49" s="8">
        <v>2015</v>
      </c>
      <c r="C49" s="8">
        <v>9</v>
      </c>
      <c r="D49" s="8" t="s">
        <v>174</v>
      </c>
      <c r="E49" s="8" t="s">
        <v>348</v>
      </c>
      <c r="F49" t="s">
        <v>21</v>
      </c>
      <c r="G49" t="s">
        <v>59</v>
      </c>
      <c r="H49" s="4">
        <v>5.390625</v>
      </c>
      <c r="I49" t="str">
        <f t="shared" si="0"/>
        <v>Stellifer micropsRockhead</v>
      </c>
    </row>
    <row r="50" spans="1:9" x14ac:dyDescent="0.35">
      <c r="A50" s="8">
        <v>2</v>
      </c>
      <c r="B50" s="8">
        <v>2015</v>
      </c>
      <c r="C50" s="8">
        <v>9</v>
      </c>
      <c r="D50" s="8" t="s">
        <v>174</v>
      </c>
      <c r="E50" s="8" t="s">
        <v>348</v>
      </c>
      <c r="F50" t="s">
        <v>45</v>
      </c>
      <c r="G50" t="s">
        <v>46</v>
      </c>
      <c r="H50" s="4">
        <v>0.2730933370044053</v>
      </c>
      <c r="I50" t="str">
        <f t="shared" si="0"/>
        <v>Conodon nobilisGrunt</v>
      </c>
    </row>
    <row r="51" spans="1:9" x14ac:dyDescent="0.35">
      <c r="A51" s="8">
        <v>2</v>
      </c>
      <c r="B51" s="8">
        <v>2015</v>
      </c>
      <c r="C51" s="8">
        <v>9</v>
      </c>
      <c r="D51" s="8" t="s">
        <v>174</v>
      </c>
      <c r="E51" s="8" t="s">
        <v>348</v>
      </c>
      <c r="F51" t="s">
        <v>39</v>
      </c>
      <c r="G51" t="s">
        <v>38</v>
      </c>
      <c r="H51" s="4">
        <v>2.4063876651982379</v>
      </c>
      <c r="I51" t="str">
        <f t="shared" si="0"/>
        <v>Colomesus psittacusBanded Puffer</v>
      </c>
    </row>
    <row r="52" spans="1:9" x14ac:dyDescent="0.35">
      <c r="A52" s="8">
        <v>2</v>
      </c>
      <c r="B52" s="8">
        <v>2015</v>
      </c>
      <c r="C52" s="8">
        <v>9</v>
      </c>
      <c r="D52" s="8" t="s">
        <v>174</v>
      </c>
      <c r="E52" s="8" t="s">
        <v>348</v>
      </c>
      <c r="F52" t="s">
        <v>3</v>
      </c>
      <c r="G52" t="s">
        <v>32</v>
      </c>
      <c r="H52" s="4">
        <v>2.0264317180616742</v>
      </c>
      <c r="I52" t="str">
        <f t="shared" si="0"/>
        <v>Ophichtus gomesiShrimp Eel</v>
      </c>
    </row>
    <row r="53" spans="1:9" x14ac:dyDescent="0.35">
      <c r="A53" s="8">
        <v>3</v>
      </c>
      <c r="B53" s="8">
        <v>2015</v>
      </c>
      <c r="C53" s="8">
        <v>9</v>
      </c>
      <c r="D53" s="8" t="s">
        <v>175</v>
      </c>
      <c r="E53" s="8" t="s">
        <v>348</v>
      </c>
      <c r="F53" t="s">
        <v>1</v>
      </c>
      <c r="G53" t="s">
        <v>291</v>
      </c>
      <c r="H53" s="4">
        <v>0.98</v>
      </c>
      <c r="I53" t="str">
        <f t="shared" si="0"/>
        <v>Dastyis guttataLongnose stingray</v>
      </c>
    </row>
    <row r="54" spans="1:9" x14ac:dyDescent="0.35">
      <c r="A54" s="8">
        <v>3</v>
      </c>
      <c r="B54" s="8">
        <v>2015</v>
      </c>
      <c r="C54" s="8">
        <v>9</v>
      </c>
      <c r="D54" s="8" t="s">
        <v>175</v>
      </c>
      <c r="E54" s="8" t="s">
        <v>348</v>
      </c>
      <c r="F54" t="s">
        <v>2</v>
      </c>
      <c r="G54" t="s">
        <v>307</v>
      </c>
      <c r="H54" s="4">
        <v>0.94</v>
      </c>
      <c r="I54" t="str">
        <f t="shared" si="0"/>
        <v>Gymnura micruraButterfly stingray</v>
      </c>
    </row>
    <row r="55" spans="1:9" x14ac:dyDescent="0.35">
      <c r="A55" s="8">
        <v>3</v>
      </c>
      <c r="B55" s="8">
        <v>2015</v>
      </c>
      <c r="C55" s="8">
        <v>9</v>
      </c>
      <c r="D55" s="8" t="s">
        <v>175</v>
      </c>
      <c r="E55" s="8" t="s">
        <v>348</v>
      </c>
      <c r="F55" t="s">
        <v>54</v>
      </c>
      <c r="G55" t="s">
        <v>55</v>
      </c>
      <c r="H55" s="4">
        <v>1.64</v>
      </c>
      <c r="I55" t="str">
        <f t="shared" si="0"/>
        <v>Arius proopsCuirass</v>
      </c>
    </row>
    <row r="56" spans="1:9" x14ac:dyDescent="0.35">
      <c r="A56" s="8">
        <v>3</v>
      </c>
      <c r="B56" s="8">
        <v>2015</v>
      </c>
      <c r="C56" s="8">
        <v>9</v>
      </c>
      <c r="D56" s="8" t="s">
        <v>175</v>
      </c>
      <c r="E56" s="8" t="s">
        <v>348</v>
      </c>
      <c r="F56" t="s">
        <v>64</v>
      </c>
      <c r="G56" t="s">
        <v>65</v>
      </c>
      <c r="H56" s="4">
        <v>0.05</v>
      </c>
      <c r="I56" t="str">
        <f t="shared" si="0"/>
        <v>Citharichthys spilopterusBay Whiff</v>
      </c>
    </row>
    <row r="57" spans="1:9" x14ac:dyDescent="0.35">
      <c r="A57" s="8">
        <v>3</v>
      </c>
      <c r="B57" s="8">
        <v>2015</v>
      </c>
      <c r="C57" s="8">
        <v>9</v>
      </c>
      <c r="D57" s="8" t="s">
        <v>175</v>
      </c>
      <c r="E57" s="8" t="s">
        <v>348</v>
      </c>
      <c r="F57" t="s">
        <v>63</v>
      </c>
      <c r="G57" t="s">
        <v>62</v>
      </c>
      <c r="H57" s="4">
        <v>0.2</v>
      </c>
      <c r="I57" t="str">
        <f t="shared" si="0"/>
        <v>Selene browniMoonfish</v>
      </c>
    </row>
    <row r="58" spans="1:9" x14ac:dyDescent="0.35">
      <c r="A58" s="8">
        <v>3</v>
      </c>
      <c r="B58" s="8">
        <v>2015</v>
      </c>
      <c r="C58" s="8">
        <v>9</v>
      </c>
      <c r="D58" s="8" t="s">
        <v>175</v>
      </c>
      <c r="E58" s="8" t="s">
        <v>348</v>
      </c>
      <c r="F58" t="s">
        <v>121</v>
      </c>
      <c r="G58" t="s">
        <v>44</v>
      </c>
      <c r="H58" s="4">
        <v>1.9</v>
      </c>
      <c r="I58" t="str">
        <f t="shared" si="0"/>
        <v>Anchoa mitchilliNegli</v>
      </c>
    </row>
    <row r="59" spans="1:9" x14ac:dyDescent="0.35">
      <c r="A59" s="8">
        <v>3</v>
      </c>
      <c r="B59" s="8">
        <v>2015</v>
      </c>
      <c r="C59" s="8">
        <v>9</v>
      </c>
      <c r="D59" s="8" t="s">
        <v>175</v>
      </c>
      <c r="E59" s="8" t="s">
        <v>348</v>
      </c>
      <c r="F59" t="s">
        <v>283</v>
      </c>
      <c r="G59" t="s">
        <v>284</v>
      </c>
      <c r="H59" s="4">
        <v>0.1</v>
      </c>
      <c r="I59" t="str">
        <f t="shared" si="0"/>
        <v>Paralonchurus braziliensisBanded croaker</v>
      </c>
    </row>
    <row r="60" spans="1:9" x14ac:dyDescent="0.35">
      <c r="A60" s="8">
        <v>3</v>
      </c>
      <c r="B60" s="8">
        <v>2015</v>
      </c>
      <c r="C60" s="8">
        <v>9</v>
      </c>
      <c r="D60" s="8" t="s">
        <v>175</v>
      </c>
      <c r="E60" s="8" t="s">
        <v>348</v>
      </c>
      <c r="F60" t="s">
        <v>49</v>
      </c>
      <c r="G60" t="s">
        <v>354</v>
      </c>
      <c r="H60" s="4">
        <v>2</v>
      </c>
      <c r="I60" t="str">
        <f t="shared" si="0"/>
        <v>Polydactylus virginicusBeard fish</v>
      </c>
    </row>
    <row r="61" spans="1:9" x14ac:dyDescent="0.35">
      <c r="A61" s="8">
        <v>3</v>
      </c>
      <c r="B61" s="8">
        <v>2015</v>
      </c>
      <c r="C61" s="8">
        <v>9</v>
      </c>
      <c r="D61" s="8" t="s">
        <v>175</v>
      </c>
      <c r="E61" s="8" t="s">
        <v>348</v>
      </c>
      <c r="F61" t="s">
        <v>17</v>
      </c>
      <c r="G61" t="s">
        <v>34</v>
      </c>
      <c r="H61" s="4">
        <v>7.8</v>
      </c>
      <c r="I61" t="str">
        <f t="shared" si="0"/>
        <v>Larimus brevicepsSilver Snapper</v>
      </c>
    </row>
    <row r="62" spans="1:9" x14ac:dyDescent="0.35">
      <c r="A62" s="8">
        <v>3</v>
      </c>
      <c r="B62" s="8">
        <v>2015</v>
      </c>
      <c r="C62" s="8">
        <v>9</v>
      </c>
      <c r="D62" s="8" t="s">
        <v>175</v>
      </c>
      <c r="E62" s="8" t="s">
        <v>348</v>
      </c>
      <c r="F62" t="s">
        <v>40</v>
      </c>
      <c r="G62" t="s">
        <v>35</v>
      </c>
      <c r="H62" s="4">
        <v>51.68</v>
      </c>
      <c r="I62" t="str">
        <f t="shared" si="0"/>
        <v>Macrodon ancylodonBangamary</v>
      </c>
    </row>
    <row r="63" spans="1:9" x14ac:dyDescent="0.35">
      <c r="A63" s="8">
        <v>3</v>
      </c>
      <c r="B63" s="8">
        <v>2015</v>
      </c>
      <c r="C63" s="8">
        <v>9</v>
      </c>
      <c r="D63" s="8" t="s">
        <v>175</v>
      </c>
      <c r="E63" s="8" t="s">
        <v>348</v>
      </c>
      <c r="F63" t="s">
        <v>125</v>
      </c>
      <c r="G63" t="s">
        <v>53</v>
      </c>
      <c r="H63" s="4">
        <v>10.260000000000002</v>
      </c>
      <c r="I63" t="str">
        <f t="shared" si="0"/>
        <v>Pellona flavipinnisRiver Pellona</v>
      </c>
    </row>
    <row r="64" spans="1:9" x14ac:dyDescent="0.35">
      <c r="A64" s="8">
        <v>3</v>
      </c>
      <c r="B64" s="8">
        <v>2015</v>
      </c>
      <c r="C64" s="8">
        <v>9</v>
      </c>
      <c r="D64" s="8" t="s">
        <v>175</v>
      </c>
      <c r="E64" s="8" t="s">
        <v>348</v>
      </c>
      <c r="F64" t="s">
        <v>50</v>
      </c>
      <c r="G64" t="s">
        <v>56</v>
      </c>
      <c r="H64" s="4">
        <v>1.88</v>
      </c>
      <c r="I64" t="str">
        <f t="shared" si="0"/>
        <v>Trichiurus lepturusSilverbelt</v>
      </c>
    </row>
    <row r="65" spans="1:9" x14ac:dyDescent="0.35">
      <c r="A65" s="8">
        <v>3</v>
      </c>
      <c r="B65" s="8">
        <v>2015</v>
      </c>
      <c r="C65" s="8">
        <v>9</v>
      </c>
      <c r="D65" s="8" t="s">
        <v>175</v>
      </c>
      <c r="E65" s="8" t="s">
        <v>348</v>
      </c>
      <c r="F65" t="s">
        <v>61</v>
      </c>
      <c r="G65" t="s">
        <v>60</v>
      </c>
      <c r="H65" s="4">
        <v>4.0699999999999994</v>
      </c>
      <c r="I65" t="str">
        <f t="shared" si="0"/>
        <v>Sciaena bathytatosDeep water drum</v>
      </c>
    </row>
    <row r="66" spans="1:9" x14ac:dyDescent="0.35">
      <c r="A66" s="8">
        <v>3</v>
      </c>
      <c r="B66" s="8">
        <v>2015</v>
      </c>
      <c r="C66" s="8">
        <v>9</v>
      </c>
      <c r="D66" s="8" t="s">
        <v>175</v>
      </c>
      <c r="E66" s="8" t="s">
        <v>348</v>
      </c>
      <c r="F66" t="s">
        <v>45</v>
      </c>
      <c r="G66" t="s">
        <v>46</v>
      </c>
      <c r="H66" s="4">
        <v>0.02</v>
      </c>
      <c r="I66" t="str">
        <f t="shared" si="0"/>
        <v>Conodon nobilisGrunt</v>
      </c>
    </row>
    <row r="67" spans="1:9" x14ac:dyDescent="0.35">
      <c r="A67" s="8">
        <v>3</v>
      </c>
      <c r="B67" s="8">
        <v>2015</v>
      </c>
      <c r="C67" s="8">
        <v>9</v>
      </c>
      <c r="D67" s="8" t="s">
        <v>175</v>
      </c>
      <c r="E67" s="8" t="s">
        <v>348</v>
      </c>
      <c r="F67" t="s">
        <v>43</v>
      </c>
      <c r="G67" t="s">
        <v>57</v>
      </c>
      <c r="H67" s="4">
        <v>1.4</v>
      </c>
      <c r="I67" t="str">
        <f t="shared" ref="I67:I130" si="1">CONCATENATE(F67,G67)</f>
        <v>Cynoscion virescensSeatrout</v>
      </c>
    </row>
    <row r="68" spans="1:9" x14ac:dyDescent="0.35">
      <c r="A68" s="8">
        <v>4</v>
      </c>
      <c r="B68" s="8">
        <v>2015</v>
      </c>
      <c r="C68" s="8">
        <v>10</v>
      </c>
      <c r="D68" s="8" t="s">
        <v>176</v>
      </c>
      <c r="E68" s="8" t="s">
        <v>348</v>
      </c>
      <c r="F68" t="s">
        <v>1</v>
      </c>
      <c r="G68" t="s">
        <v>291</v>
      </c>
      <c r="H68" s="4">
        <v>17</v>
      </c>
      <c r="I68" t="str">
        <f t="shared" si="1"/>
        <v>Dastyis guttataLongnose stingray</v>
      </c>
    </row>
    <row r="69" spans="1:9" x14ac:dyDescent="0.35">
      <c r="A69" s="8">
        <v>4</v>
      </c>
      <c r="B69" s="8">
        <v>2015</v>
      </c>
      <c r="C69" s="8">
        <v>10</v>
      </c>
      <c r="D69" s="8" t="s">
        <v>176</v>
      </c>
      <c r="E69" s="8" t="s">
        <v>348</v>
      </c>
      <c r="F69" t="s">
        <v>2</v>
      </c>
      <c r="G69" t="s">
        <v>307</v>
      </c>
      <c r="H69" s="4">
        <v>4</v>
      </c>
      <c r="I69" t="str">
        <f t="shared" si="1"/>
        <v>Gymnura micruraButterfly stingray</v>
      </c>
    </row>
    <row r="70" spans="1:9" x14ac:dyDescent="0.35">
      <c r="A70" s="8">
        <v>4</v>
      </c>
      <c r="B70" s="8">
        <v>2015</v>
      </c>
      <c r="C70" s="8">
        <v>10</v>
      </c>
      <c r="D70" s="8" t="s">
        <v>176</v>
      </c>
      <c r="E70" s="8" t="s">
        <v>348</v>
      </c>
      <c r="F70" t="s">
        <v>7</v>
      </c>
      <c r="G70" t="s">
        <v>8</v>
      </c>
      <c r="H70" s="4">
        <v>1</v>
      </c>
      <c r="I70" t="str">
        <f t="shared" si="1"/>
        <v>Achirus achirusDrab Sole</v>
      </c>
    </row>
    <row r="71" spans="1:9" x14ac:dyDescent="0.35">
      <c r="A71" s="8">
        <v>4</v>
      </c>
      <c r="B71" s="8">
        <v>2015</v>
      </c>
      <c r="C71" s="8">
        <v>10</v>
      </c>
      <c r="D71" s="8" t="s">
        <v>176</v>
      </c>
      <c r="E71" s="8" t="s">
        <v>348</v>
      </c>
      <c r="F71" t="s">
        <v>6</v>
      </c>
      <c r="G71" t="s">
        <v>72</v>
      </c>
      <c r="H71" s="4">
        <v>5</v>
      </c>
      <c r="I71" t="str">
        <f t="shared" si="1"/>
        <v>Symphurus plagusiaTongue Fish</v>
      </c>
    </row>
    <row r="72" spans="1:9" x14ac:dyDescent="0.35">
      <c r="A72" s="8">
        <v>4</v>
      </c>
      <c r="B72" s="8">
        <v>2015</v>
      </c>
      <c r="C72" s="8">
        <v>10</v>
      </c>
      <c r="D72" s="8" t="s">
        <v>176</v>
      </c>
      <c r="E72" s="8" t="s">
        <v>348</v>
      </c>
      <c r="F72" t="s">
        <v>85</v>
      </c>
      <c r="G72" t="s">
        <v>86</v>
      </c>
      <c r="H72" s="4">
        <v>2</v>
      </c>
      <c r="I72" t="str">
        <f t="shared" si="1"/>
        <v>Squilla mantisMantis Shrimp</v>
      </c>
    </row>
    <row r="73" spans="1:9" x14ac:dyDescent="0.35">
      <c r="A73" s="8">
        <v>4</v>
      </c>
      <c r="B73" s="8">
        <v>2015</v>
      </c>
      <c r="C73" s="8">
        <v>10</v>
      </c>
      <c r="D73" s="8" t="s">
        <v>176</v>
      </c>
      <c r="E73" s="8" t="s">
        <v>348</v>
      </c>
      <c r="F73" t="s">
        <v>116</v>
      </c>
      <c r="G73" t="s">
        <v>115</v>
      </c>
      <c r="H73" s="4">
        <v>6</v>
      </c>
      <c r="I73" t="str">
        <f t="shared" si="1"/>
        <v>Anchoa spiniferSpecule Anchovy</v>
      </c>
    </row>
    <row r="74" spans="1:9" x14ac:dyDescent="0.35">
      <c r="A74" s="8">
        <v>4</v>
      </c>
      <c r="B74" s="8">
        <v>2015</v>
      </c>
      <c r="C74" s="8">
        <v>10</v>
      </c>
      <c r="D74" s="8" t="s">
        <v>176</v>
      </c>
      <c r="E74" s="8" t="s">
        <v>348</v>
      </c>
      <c r="F74" t="s">
        <v>63</v>
      </c>
      <c r="G74" t="s">
        <v>62</v>
      </c>
      <c r="H74" s="4">
        <v>0.3</v>
      </c>
      <c r="I74" t="str">
        <f t="shared" si="1"/>
        <v>Selene browniMoonfish</v>
      </c>
    </row>
    <row r="75" spans="1:9" x14ac:dyDescent="0.35">
      <c r="A75" s="8">
        <v>4</v>
      </c>
      <c r="B75" s="8">
        <v>2015</v>
      </c>
      <c r="C75" s="8">
        <v>10</v>
      </c>
      <c r="D75" s="8" t="s">
        <v>176</v>
      </c>
      <c r="E75" s="8" t="s">
        <v>348</v>
      </c>
      <c r="F75" t="s">
        <v>121</v>
      </c>
      <c r="G75" t="s">
        <v>44</v>
      </c>
      <c r="H75" s="4">
        <v>1</v>
      </c>
      <c r="I75" t="str">
        <f t="shared" si="1"/>
        <v>Anchoa mitchilliNegli</v>
      </c>
    </row>
    <row r="76" spans="1:9" x14ac:dyDescent="0.35">
      <c r="A76" s="8">
        <v>4</v>
      </c>
      <c r="B76" s="8">
        <v>2015</v>
      </c>
      <c r="C76" s="8">
        <v>10</v>
      </c>
      <c r="D76" s="8" t="s">
        <v>176</v>
      </c>
      <c r="E76" s="8" t="s">
        <v>348</v>
      </c>
      <c r="F76" t="s">
        <v>283</v>
      </c>
      <c r="G76" t="s">
        <v>284</v>
      </c>
      <c r="H76" s="4">
        <v>1.3</v>
      </c>
      <c r="I76" t="str">
        <f t="shared" si="1"/>
        <v>Paralonchurus braziliensisBanded croaker</v>
      </c>
    </row>
    <row r="77" spans="1:9" x14ac:dyDescent="0.35">
      <c r="A77" s="8">
        <v>4</v>
      </c>
      <c r="B77" s="8">
        <v>2015</v>
      </c>
      <c r="C77" s="8">
        <v>10</v>
      </c>
      <c r="D77" s="8" t="s">
        <v>176</v>
      </c>
      <c r="E77" s="8" t="s">
        <v>348</v>
      </c>
      <c r="F77" t="s">
        <v>49</v>
      </c>
      <c r="G77" t="s">
        <v>354</v>
      </c>
      <c r="H77" s="4">
        <v>0.25</v>
      </c>
      <c r="I77" t="str">
        <f t="shared" si="1"/>
        <v>Polydactylus virginicusBeard fish</v>
      </c>
    </row>
    <row r="78" spans="1:9" x14ac:dyDescent="0.35">
      <c r="A78" s="8">
        <v>4</v>
      </c>
      <c r="B78" s="8">
        <v>2015</v>
      </c>
      <c r="C78" s="8">
        <v>10</v>
      </c>
      <c r="D78" s="8" t="s">
        <v>176</v>
      </c>
      <c r="E78" s="8" t="s">
        <v>348</v>
      </c>
      <c r="F78" t="s">
        <v>21</v>
      </c>
      <c r="G78" t="s">
        <v>59</v>
      </c>
      <c r="H78" s="4">
        <v>38</v>
      </c>
      <c r="I78" t="str">
        <f t="shared" si="1"/>
        <v>Stellifer micropsRockhead</v>
      </c>
    </row>
    <row r="79" spans="1:9" x14ac:dyDescent="0.35">
      <c r="A79" s="8">
        <v>4</v>
      </c>
      <c r="B79" s="8">
        <v>2015</v>
      </c>
      <c r="C79" s="8">
        <v>10</v>
      </c>
      <c r="D79" s="8" t="s">
        <v>176</v>
      </c>
      <c r="E79" s="8" t="s">
        <v>348</v>
      </c>
      <c r="F79" t="s">
        <v>17</v>
      </c>
      <c r="G79" t="s">
        <v>34</v>
      </c>
      <c r="H79" s="4">
        <v>23</v>
      </c>
      <c r="I79" t="str">
        <f t="shared" si="1"/>
        <v>Larimus brevicepsSilver Snapper</v>
      </c>
    </row>
    <row r="80" spans="1:9" x14ac:dyDescent="0.35">
      <c r="A80" s="8">
        <v>4</v>
      </c>
      <c r="B80" s="8">
        <v>2015</v>
      </c>
      <c r="C80" s="8">
        <v>10</v>
      </c>
      <c r="D80" s="8" t="s">
        <v>176</v>
      </c>
      <c r="E80" s="8" t="s">
        <v>348</v>
      </c>
      <c r="F80" t="s">
        <v>40</v>
      </c>
      <c r="G80" t="s">
        <v>35</v>
      </c>
      <c r="H80" s="4">
        <v>62</v>
      </c>
      <c r="I80" t="str">
        <f t="shared" si="1"/>
        <v>Macrodon ancylodonBangamary</v>
      </c>
    </row>
    <row r="81" spans="1:9" x14ac:dyDescent="0.35">
      <c r="A81" s="8">
        <v>4</v>
      </c>
      <c r="B81" s="8">
        <v>2015</v>
      </c>
      <c r="C81" s="8">
        <v>10</v>
      </c>
      <c r="D81" s="8" t="s">
        <v>176</v>
      </c>
      <c r="E81" s="8" t="s">
        <v>348</v>
      </c>
      <c r="F81" t="s">
        <v>122</v>
      </c>
      <c r="G81" t="s">
        <v>53</v>
      </c>
      <c r="H81" s="4">
        <v>4</v>
      </c>
      <c r="I81" t="str">
        <f t="shared" si="1"/>
        <v>Pellona harroweriRiver Pellona</v>
      </c>
    </row>
    <row r="82" spans="1:9" x14ac:dyDescent="0.35">
      <c r="A82" s="8">
        <v>4</v>
      </c>
      <c r="B82" s="8">
        <v>2015</v>
      </c>
      <c r="C82" s="8">
        <v>10</v>
      </c>
      <c r="D82" s="8" t="s">
        <v>176</v>
      </c>
      <c r="E82" s="8" t="s">
        <v>348</v>
      </c>
      <c r="F82" t="s">
        <v>50</v>
      </c>
      <c r="G82" t="s">
        <v>56</v>
      </c>
      <c r="H82" s="4">
        <v>5.3</v>
      </c>
      <c r="I82" t="str">
        <f t="shared" si="1"/>
        <v>Trichiurus lepturusSilverbelt</v>
      </c>
    </row>
    <row r="83" spans="1:9" x14ac:dyDescent="0.35">
      <c r="A83" s="8">
        <v>4</v>
      </c>
      <c r="B83" s="8">
        <v>2015</v>
      </c>
      <c r="C83" s="8">
        <v>10</v>
      </c>
      <c r="D83" s="8" t="s">
        <v>176</v>
      </c>
      <c r="E83" s="8" t="s">
        <v>348</v>
      </c>
      <c r="F83" t="s">
        <v>45</v>
      </c>
      <c r="G83" t="s">
        <v>46</v>
      </c>
      <c r="H83" s="4">
        <v>0.2</v>
      </c>
      <c r="I83" t="str">
        <f t="shared" si="1"/>
        <v>Conodon nobilisGrunt</v>
      </c>
    </row>
    <row r="84" spans="1:9" x14ac:dyDescent="0.35">
      <c r="A84" s="8">
        <v>4</v>
      </c>
      <c r="B84" s="8">
        <v>2015</v>
      </c>
      <c r="C84" s="8">
        <v>10</v>
      </c>
      <c r="D84" s="8" t="s">
        <v>176</v>
      </c>
      <c r="E84" s="8" t="s">
        <v>348</v>
      </c>
      <c r="F84" t="s">
        <v>43</v>
      </c>
      <c r="G84" t="s">
        <v>57</v>
      </c>
      <c r="H84" s="4">
        <v>4</v>
      </c>
      <c r="I84" t="str">
        <f t="shared" si="1"/>
        <v>Cynoscion virescensSeatrout</v>
      </c>
    </row>
    <row r="85" spans="1:9" x14ac:dyDescent="0.35">
      <c r="A85" s="8">
        <v>5</v>
      </c>
      <c r="B85" s="8">
        <v>2015</v>
      </c>
      <c r="C85" s="8">
        <v>10</v>
      </c>
      <c r="D85" s="8" t="s">
        <v>174</v>
      </c>
      <c r="E85" s="8" t="s">
        <v>348</v>
      </c>
      <c r="F85" t="s">
        <v>2</v>
      </c>
      <c r="G85" t="s">
        <v>307</v>
      </c>
      <c r="H85" s="4">
        <v>0.25770925110132159</v>
      </c>
      <c r="I85" t="str">
        <f t="shared" si="1"/>
        <v>Gymnura micruraButterfly stingray</v>
      </c>
    </row>
    <row r="86" spans="1:9" x14ac:dyDescent="0.35">
      <c r="A86" s="8">
        <v>5</v>
      </c>
      <c r="B86" s="8">
        <v>2015</v>
      </c>
      <c r="C86" s="8">
        <v>10</v>
      </c>
      <c r="D86" s="8" t="s">
        <v>174</v>
      </c>
      <c r="E86" s="8" t="s">
        <v>348</v>
      </c>
      <c r="F86" t="s">
        <v>36</v>
      </c>
      <c r="G86" t="s">
        <v>33</v>
      </c>
      <c r="H86" s="4">
        <v>1.3215859030837005E-2</v>
      </c>
      <c r="I86" t="str">
        <f t="shared" si="1"/>
        <v>Aridae (G) ariusSpring Cuirass</v>
      </c>
    </row>
    <row r="87" spans="1:9" x14ac:dyDescent="0.35">
      <c r="A87" s="8">
        <v>5</v>
      </c>
      <c r="B87" s="8">
        <v>2015</v>
      </c>
      <c r="C87" s="8">
        <v>10</v>
      </c>
      <c r="D87" s="8" t="s">
        <v>174</v>
      </c>
      <c r="E87" s="8" t="s">
        <v>348</v>
      </c>
      <c r="F87" t="s">
        <v>6</v>
      </c>
      <c r="G87" t="s">
        <v>37</v>
      </c>
      <c r="H87" s="4">
        <v>3.2</v>
      </c>
      <c r="I87" t="str">
        <f t="shared" si="1"/>
        <v>Symphurus plagusiaTongue fish</v>
      </c>
    </row>
    <row r="88" spans="1:9" x14ac:dyDescent="0.35">
      <c r="A88" s="8">
        <v>5</v>
      </c>
      <c r="B88" s="8">
        <v>2015</v>
      </c>
      <c r="C88" s="8">
        <v>10</v>
      </c>
      <c r="D88" s="8" t="s">
        <v>174</v>
      </c>
      <c r="E88" s="8" t="s">
        <v>348</v>
      </c>
      <c r="F88" t="s">
        <v>7</v>
      </c>
      <c r="G88" t="s">
        <v>8</v>
      </c>
      <c r="H88" s="4">
        <v>0.12555066079295155</v>
      </c>
      <c r="I88" t="str">
        <f t="shared" si="1"/>
        <v>Achirus achirusDrab Sole</v>
      </c>
    </row>
    <row r="89" spans="1:9" x14ac:dyDescent="0.35">
      <c r="A89" s="8">
        <v>5</v>
      </c>
      <c r="B89" s="8">
        <v>2015</v>
      </c>
      <c r="C89" s="8">
        <v>10</v>
      </c>
      <c r="D89" s="8" t="s">
        <v>174</v>
      </c>
      <c r="E89" s="8" t="s">
        <v>348</v>
      </c>
      <c r="F89" t="s">
        <v>85</v>
      </c>
      <c r="G89" t="s">
        <v>86</v>
      </c>
      <c r="H89" s="4">
        <v>0.24229074889867841</v>
      </c>
      <c r="I89" t="str">
        <f t="shared" si="1"/>
        <v>Squilla mantisMantis Shrimp</v>
      </c>
    </row>
    <row r="90" spans="1:9" x14ac:dyDescent="0.35">
      <c r="A90" s="8">
        <v>5</v>
      </c>
      <c r="B90" s="8">
        <v>2015</v>
      </c>
      <c r="C90" s="8">
        <v>10</v>
      </c>
      <c r="D90" s="8" t="s">
        <v>174</v>
      </c>
      <c r="E90" s="8" t="s">
        <v>348</v>
      </c>
      <c r="F90" t="s">
        <v>41</v>
      </c>
      <c r="G90" t="s">
        <v>10</v>
      </c>
      <c r="H90" s="4">
        <v>7.0484581497797363E-2</v>
      </c>
      <c r="I90" t="str">
        <f t="shared" si="1"/>
        <v>Chaetodipterus faberSea Donkey</v>
      </c>
    </row>
    <row r="91" spans="1:9" x14ac:dyDescent="0.35">
      <c r="A91" s="8">
        <v>5</v>
      </c>
      <c r="B91" s="8">
        <v>2015</v>
      </c>
      <c r="C91" s="8">
        <v>10</v>
      </c>
      <c r="D91" s="8" t="s">
        <v>174</v>
      </c>
      <c r="E91" s="8" t="s">
        <v>348</v>
      </c>
      <c r="F91" t="s">
        <v>43</v>
      </c>
      <c r="G91" t="s">
        <v>57</v>
      </c>
      <c r="H91" s="4">
        <v>0.8</v>
      </c>
      <c r="I91" t="str">
        <f t="shared" si="1"/>
        <v>Cynoscion virescensSeatrout</v>
      </c>
    </row>
    <row r="92" spans="1:9" x14ac:dyDescent="0.35">
      <c r="A92" s="8">
        <v>5</v>
      </c>
      <c r="B92" s="8">
        <v>2015</v>
      </c>
      <c r="C92" s="8">
        <v>10</v>
      </c>
      <c r="D92" s="8" t="s">
        <v>174</v>
      </c>
      <c r="E92" s="8" t="s">
        <v>348</v>
      </c>
      <c r="F92" t="s">
        <v>350</v>
      </c>
      <c r="G92" t="s">
        <v>12</v>
      </c>
      <c r="H92" s="4">
        <v>8.1497797356828189E-2</v>
      </c>
      <c r="I92" t="str">
        <f t="shared" si="1"/>
        <v>Batrachoides  surinamensisPacu</v>
      </c>
    </row>
    <row r="93" spans="1:9" x14ac:dyDescent="0.35">
      <c r="A93" s="8">
        <v>5</v>
      </c>
      <c r="B93" s="8">
        <v>2015</v>
      </c>
      <c r="C93" s="8">
        <v>10</v>
      </c>
      <c r="D93" s="8" t="s">
        <v>174</v>
      </c>
      <c r="E93" s="8" t="s">
        <v>348</v>
      </c>
      <c r="F93" t="s">
        <v>283</v>
      </c>
      <c r="G93" t="s">
        <v>284</v>
      </c>
      <c r="H93" s="4">
        <v>1.9</v>
      </c>
      <c r="I93" t="str">
        <f t="shared" si="1"/>
        <v>Paralonchurus braziliensisBanded croaker</v>
      </c>
    </row>
    <row r="94" spans="1:9" x14ac:dyDescent="0.35">
      <c r="A94" s="8">
        <v>5</v>
      </c>
      <c r="B94" s="8">
        <v>2015</v>
      </c>
      <c r="C94" s="8">
        <v>10</v>
      </c>
      <c r="D94" s="8" t="s">
        <v>174</v>
      </c>
      <c r="E94" s="8" t="s">
        <v>348</v>
      </c>
      <c r="F94" t="s">
        <v>49</v>
      </c>
      <c r="G94" t="s">
        <v>354</v>
      </c>
      <c r="H94" s="4">
        <v>1.5418502202643172E-2</v>
      </c>
      <c r="I94" t="str">
        <f t="shared" si="1"/>
        <v>Polydactylus virginicusBeard fish</v>
      </c>
    </row>
    <row r="95" spans="1:9" x14ac:dyDescent="0.35">
      <c r="A95" s="8">
        <v>5</v>
      </c>
      <c r="B95" s="8">
        <v>2015</v>
      </c>
      <c r="C95" s="8">
        <v>10</v>
      </c>
      <c r="D95" s="8" t="s">
        <v>174</v>
      </c>
      <c r="E95" s="8" t="s">
        <v>348</v>
      </c>
      <c r="F95" t="s">
        <v>15</v>
      </c>
      <c r="G95" t="s">
        <v>16</v>
      </c>
      <c r="H95" s="4">
        <v>3.3039647577092511E-2</v>
      </c>
      <c r="I95" t="str">
        <f t="shared" si="1"/>
        <v>Nebris micropsButterfish</v>
      </c>
    </row>
    <row r="96" spans="1:9" x14ac:dyDescent="0.35">
      <c r="A96" s="8">
        <v>5</v>
      </c>
      <c r="B96" s="8">
        <v>2015</v>
      </c>
      <c r="C96" s="8">
        <v>10</v>
      </c>
      <c r="D96" s="8" t="s">
        <v>174</v>
      </c>
      <c r="E96" s="8" t="s">
        <v>348</v>
      </c>
      <c r="F96" t="s">
        <v>17</v>
      </c>
      <c r="G96" t="s">
        <v>34</v>
      </c>
      <c r="H96" s="4">
        <v>8.3700440528634359E-2</v>
      </c>
      <c r="I96" t="str">
        <f t="shared" si="1"/>
        <v>Larimus brevicepsSilver Snapper</v>
      </c>
    </row>
    <row r="97" spans="1:9" x14ac:dyDescent="0.35">
      <c r="A97" s="8">
        <v>5</v>
      </c>
      <c r="B97" s="8">
        <v>2015</v>
      </c>
      <c r="C97" s="8">
        <v>10</v>
      </c>
      <c r="D97" s="8" t="s">
        <v>174</v>
      </c>
      <c r="E97" s="8" t="s">
        <v>348</v>
      </c>
      <c r="F97" t="s">
        <v>40</v>
      </c>
      <c r="G97" t="s">
        <v>35</v>
      </c>
      <c r="H97" s="4">
        <v>35.4</v>
      </c>
      <c r="I97" t="str">
        <f t="shared" si="1"/>
        <v>Macrodon ancylodonBangamary</v>
      </c>
    </row>
    <row r="98" spans="1:9" x14ac:dyDescent="0.35">
      <c r="A98" s="8">
        <v>5</v>
      </c>
      <c r="B98" s="8">
        <v>2015</v>
      </c>
      <c r="C98" s="8">
        <v>10</v>
      </c>
      <c r="D98" s="8" t="s">
        <v>174</v>
      </c>
      <c r="E98" s="8" t="s">
        <v>348</v>
      </c>
      <c r="F98" t="s">
        <v>18</v>
      </c>
      <c r="G98" t="s">
        <v>81</v>
      </c>
      <c r="H98" s="4">
        <v>4.8458149779735685E-2</v>
      </c>
      <c r="I98" t="str">
        <f t="shared" si="1"/>
        <v>Genyatremus leteusAnnafolk</v>
      </c>
    </row>
    <row r="99" spans="1:9" x14ac:dyDescent="0.35">
      <c r="A99" s="8">
        <v>5</v>
      </c>
      <c r="B99" s="8">
        <v>2015</v>
      </c>
      <c r="C99" s="8">
        <v>10</v>
      </c>
      <c r="D99" s="8" t="s">
        <v>174</v>
      </c>
      <c r="E99" s="8" t="s">
        <v>348</v>
      </c>
      <c r="F99" t="s">
        <v>121</v>
      </c>
      <c r="G99" t="s">
        <v>44</v>
      </c>
      <c r="H99" s="4">
        <v>0.24669603524229075</v>
      </c>
      <c r="I99" t="str">
        <f t="shared" si="1"/>
        <v>Anchoa mitchilliNegli</v>
      </c>
    </row>
    <row r="100" spans="1:9" x14ac:dyDescent="0.35">
      <c r="A100" s="8">
        <v>5</v>
      </c>
      <c r="B100" s="8">
        <v>2015</v>
      </c>
      <c r="C100" s="8">
        <v>10</v>
      </c>
      <c r="D100" s="8" t="s">
        <v>174</v>
      </c>
      <c r="E100" s="8" t="s">
        <v>348</v>
      </c>
      <c r="F100" t="s">
        <v>21</v>
      </c>
      <c r="G100" t="s">
        <v>59</v>
      </c>
      <c r="H100" s="4">
        <v>7.7</v>
      </c>
      <c r="I100" t="str">
        <f t="shared" si="1"/>
        <v>Stellifer micropsRockhead</v>
      </c>
    </row>
    <row r="101" spans="1:9" x14ac:dyDescent="0.35">
      <c r="A101" s="8">
        <v>5</v>
      </c>
      <c r="B101" s="8">
        <v>2015</v>
      </c>
      <c r="C101" s="8">
        <v>10</v>
      </c>
      <c r="D101" s="8" t="s">
        <v>174</v>
      </c>
      <c r="E101" s="8" t="s">
        <v>348</v>
      </c>
      <c r="F101" t="s">
        <v>45</v>
      </c>
      <c r="G101" t="s">
        <v>46</v>
      </c>
      <c r="H101" s="4">
        <v>1.9823788546255508E-2</v>
      </c>
      <c r="I101" t="str">
        <f t="shared" si="1"/>
        <v>Conodon nobilisGrunt</v>
      </c>
    </row>
    <row r="102" spans="1:9" x14ac:dyDescent="0.35">
      <c r="A102" s="8">
        <v>5</v>
      </c>
      <c r="B102" s="8">
        <v>2015</v>
      </c>
      <c r="C102" s="8">
        <v>10</v>
      </c>
      <c r="D102" s="8" t="s">
        <v>174</v>
      </c>
      <c r="E102" s="8" t="s">
        <v>348</v>
      </c>
      <c r="F102" t="s">
        <v>116</v>
      </c>
      <c r="G102" t="s">
        <v>115</v>
      </c>
      <c r="H102" s="4">
        <v>0.47136563876651982</v>
      </c>
      <c r="I102" t="str">
        <f t="shared" si="1"/>
        <v>Anchoa spiniferSpecule Anchovy</v>
      </c>
    </row>
    <row r="103" spans="1:9" x14ac:dyDescent="0.35">
      <c r="A103" s="8">
        <v>5</v>
      </c>
      <c r="B103" s="8">
        <v>2015</v>
      </c>
      <c r="C103" s="8">
        <v>10</v>
      </c>
      <c r="D103" s="8" t="s">
        <v>174</v>
      </c>
      <c r="E103" s="8" t="s">
        <v>348</v>
      </c>
      <c r="F103" t="s">
        <v>122</v>
      </c>
      <c r="G103" t="s">
        <v>53</v>
      </c>
      <c r="H103" s="4">
        <v>0.31718061674008813</v>
      </c>
      <c r="I103" t="str">
        <f t="shared" si="1"/>
        <v>Pellona harroweriRiver Pellona</v>
      </c>
    </row>
    <row r="104" spans="1:9" x14ac:dyDescent="0.35">
      <c r="A104" s="8">
        <v>5</v>
      </c>
      <c r="B104" s="8">
        <v>2015</v>
      </c>
      <c r="C104" s="8">
        <v>10</v>
      </c>
      <c r="D104" s="8" t="s">
        <v>174</v>
      </c>
      <c r="E104" s="8" t="s">
        <v>348</v>
      </c>
      <c r="F104" t="s">
        <v>22</v>
      </c>
      <c r="G104" t="s">
        <v>123</v>
      </c>
      <c r="H104" s="4">
        <v>7.7092511013215861E-2</v>
      </c>
      <c r="I104" t="str">
        <f t="shared" si="1"/>
        <v>Menticirrhus americanusSouthern Kingcroaker</v>
      </c>
    </row>
    <row r="105" spans="1:9" x14ac:dyDescent="0.35">
      <c r="A105" s="8">
        <v>5</v>
      </c>
      <c r="B105" s="8">
        <v>2015</v>
      </c>
      <c r="C105" s="8">
        <v>10</v>
      </c>
      <c r="D105" s="8" t="s">
        <v>174</v>
      </c>
      <c r="E105" s="8" t="s">
        <v>348</v>
      </c>
      <c r="F105" t="s">
        <v>63</v>
      </c>
      <c r="G105" t="s">
        <v>62</v>
      </c>
      <c r="H105" s="4">
        <v>6.6079295154185024E-3</v>
      </c>
      <c r="I105" t="str">
        <f t="shared" si="1"/>
        <v>Selene browniMoonfish</v>
      </c>
    </row>
    <row r="106" spans="1:9" x14ac:dyDescent="0.35">
      <c r="A106" s="8">
        <v>5</v>
      </c>
      <c r="B106" s="8">
        <v>2015</v>
      </c>
      <c r="C106" s="8">
        <v>10</v>
      </c>
      <c r="D106" s="8" t="s">
        <v>174</v>
      </c>
      <c r="E106" s="8" t="s">
        <v>348</v>
      </c>
      <c r="F106" t="s">
        <v>25</v>
      </c>
      <c r="G106" t="s">
        <v>26</v>
      </c>
      <c r="H106" s="4">
        <v>0.17180616740088106</v>
      </c>
      <c r="I106" t="str">
        <f t="shared" si="1"/>
        <v>Laligo laligoSquid Laligo</v>
      </c>
    </row>
    <row r="107" spans="1:9" x14ac:dyDescent="0.35">
      <c r="A107" s="8">
        <v>6</v>
      </c>
      <c r="B107" s="8">
        <v>2015</v>
      </c>
      <c r="C107" s="8">
        <v>11</v>
      </c>
      <c r="D107" s="8" t="s">
        <v>173</v>
      </c>
      <c r="E107" s="8" t="s">
        <v>348</v>
      </c>
      <c r="F107" t="s">
        <v>129</v>
      </c>
      <c r="G107" t="s">
        <v>306</v>
      </c>
      <c r="H107" s="4">
        <v>1.5</v>
      </c>
      <c r="I107" t="str">
        <f t="shared" si="1"/>
        <v>Dasyatis geijskesiSharpsnout stingray</v>
      </c>
    </row>
    <row r="108" spans="1:9" x14ac:dyDescent="0.35">
      <c r="A108" s="8">
        <v>6</v>
      </c>
      <c r="B108" s="8">
        <v>2015</v>
      </c>
      <c r="C108" s="8">
        <v>11</v>
      </c>
      <c r="D108" s="8" t="s">
        <v>173</v>
      </c>
      <c r="E108" s="8" t="s">
        <v>348</v>
      </c>
      <c r="F108" t="s">
        <v>1</v>
      </c>
      <c r="G108" t="s">
        <v>291</v>
      </c>
      <c r="H108" s="4">
        <v>1.1000000000000001</v>
      </c>
      <c r="I108" t="str">
        <f t="shared" si="1"/>
        <v>Dastyis guttataLongnose stingray</v>
      </c>
    </row>
    <row r="109" spans="1:9" x14ac:dyDescent="0.35">
      <c r="A109" s="8">
        <v>6</v>
      </c>
      <c r="B109" s="8">
        <v>2015</v>
      </c>
      <c r="C109" s="8">
        <v>11</v>
      </c>
      <c r="D109" s="8" t="s">
        <v>173</v>
      </c>
      <c r="E109" s="8" t="s">
        <v>348</v>
      </c>
      <c r="F109" t="s">
        <v>77</v>
      </c>
      <c r="G109" t="s">
        <v>78</v>
      </c>
      <c r="H109" s="4">
        <v>0.5</v>
      </c>
      <c r="I109" t="str">
        <f t="shared" si="1"/>
        <v>Urotrygon microphthalmumSmalleyed round stingray</v>
      </c>
    </row>
    <row r="110" spans="1:9" x14ac:dyDescent="0.35">
      <c r="A110" s="8">
        <v>6</v>
      </c>
      <c r="B110" s="8">
        <v>2015</v>
      </c>
      <c r="C110" s="8">
        <v>11</v>
      </c>
      <c r="D110" s="8" t="s">
        <v>173</v>
      </c>
      <c r="E110" s="8" t="s">
        <v>348</v>
      </c>
      <c r="F110" t="s">
        <v>36</v>
      </c>
      <c r="G110" t="s">
        <v>33</v>
      </c>
      <c r="H110" s="4">
        <v>9.4</v>
      </c>
      <c r="I110" t="str">
        <f t="shared" si="1"/>
        <v>Aridae (G) ariusSpring Cuirass</v>
      </c>
    </row>
    <row r="111" spans="1:9" x14ac:dyDescent="0.35">
      <c r="A111" s="8">
        <v>6</v>
      </c>
      <c r="B111" s="8">
        <v>2015</v>
      </c>
      <c r="C111" s="8">
        <v>11</v>
      </c>
      <c r="D111" s="8" t="s">
        <v>173</v>
      </c>
      <c r="E111" s="8" t="s">
        <v>348</v>
      </c>
      <c r="F111" t="s">
        <v>6</v>
      </c>
      <c r="G111" t="s">
        <v>37</v>
      </c>
      <c r="H111" s="4">
        <v>0.3</v>
      </c>
      <c r="I111" t="str">
        <f t="shared" si="1"/>
        <v>Symphurus plagusiaTongue fish</v>
      </c>
    </row>
    <row r="112" spans="1:9" x14ac:dyDescent="0.35">
      <c r="A112" s="8">
        <v>6</v>
      </c>
      <c r="B112" s="8">
        <v>2015</v>
      </c>
      <c r="C112" s="8">
        <v>11</v>
      </c>
      <c r="D112" s="8" t="s">
        <v>173</v>
      </c>
      <c r="E112" s="8" t="s">
        <v>348</v>
      </c>
      <c r="F112" t="s">
        <v>43</v>
      </c>
      <c r="G112" t="s">
        <v>57</v>
      </c>
      <c r="H112" s="4">
        <v>0.5</v>
      </c>
      <c r="I112" t="str">
        <f t="shared" si="1"/>
        <v>Cynoscion virescensSeatrout</v>
      </c>
    </row>
    <row r="113" spans="1:9" x14ac:dyDescent="0.35">
      <c r="A113" s="8">
        <v>6</v>
      </c>
      <c r="B113" s="8">
        <v>2015</v>
      </c>
      <c r="C113" s="8">
        <v>11</v>
      </c>
      <c r="D113" s="8" t="s">
        <v>173</v>
      </c>
      <c r="E113" s="8" t="s">
        <v>348</v>
      </c>
      <c r="F113" t="s">
        <v>350</v>
      </c>
      <c r="G113" t="s">
        <v>12</v>
      </c>
      <c r="H113" s="4">
        <v>3</v>
      </c>
      <c r="I113" t="str">
        <f t="shared" si="1"/>
        <v>Batrachoides  surinamensisPacu</v>
      </c>
    </row>
    <row r="114" spans="1:9" x14ac:dyDescent="0.35">
      <c r="A114" s="8">
        <v>6</v>
      </c>
      <c r="B114" s="8">
        <v>2015</v>
      </c>
      <c r="C114" s="8">
        <v>11</v>
      </c>
      <c r="D114" s="8" t="s">
        <v>173</v>
      </c>
      <c r="E114" s="8" t="s">
        <v>348</v>
      </c>
      <c r="F114" t="s">
        <v>42</v>
      </c>
      <c r="G114" t="s">
        <v>126</v>
      </c>
      <c r="H114" s="4">
        <v>2</v>
      </c>
      <c r="I114" t="str">
        <f t="shared" si="1"/>
        <v>Paralonchurus  elegansChinese Butterfish</v>
      </c>
    </row>
    <row r="115" spans="1:9" x14ac:dyDescent="0.35">
      <c r="A115" s="8">
        <v>6</v>
      </c>
      <c r="B115" s="8">
        <v>2015</v>
      </c>
      <c r="C115" s="8">
        <v>11</v>
      </c>
      <c r="D115" s="8" t="s">
        <v>173</v>
      </c>
      <c r="E115" s="8" t="s">
        <v>348</v>
      </c>
      <c r="F115" t="s">
        <v>13</v>
      </c>
      <c r="G115" t="s">
        <v>14</v>
      </c>
      <c r="H115" s="4">
        <v>0.1</v>
      </c>
      <c r="I115" t="str">
        <f t="shared" si="1"/>
        <v>Harengula jaguanaHerring</v>
      </c>
    </row>
    <row r="116" spans="1:9" x14ac:dyDescent="0.35">
      <c r="A116" s="8">
        <v>6</v>
      </c>
      <c r="B116" s="8">
        <v>2015</v>
      </c>
      <c r="C116" s="8">
        <v>11</v>
      </c>
      <c r="D116" s="8" t="s">
        <v>173</v>
      </c>
      <c r="E116" s="8" t="s">
        <v>348</v>
      </c>
      <c r="F116" t="s">
        <v>15</v>
      </c>
      <c r="G116" t="s">
        <v>16</v>
      </c>
      <c r="H116" s="4">
        <v>8.5</v>
      </c>
      <c r="I116" t="str">
        <f t="shared" si="1"/>
        <v>Nebris micropsButterfish</v>
      </c>
    </row>
    <row r="117" spans="1:9" x14ac:dyDescent="0.35">
      <c r="A117" s="8">
        <v>6</v>
      </c>
      <c r="B117" s="8">
        <v>2015</v>
      </c>
      <c r="C117" s="8">
        <v>11</v>
      </c>
      <c r="D117" s="8" t="s">
        <v>173</v>
      </c>
      <c r="E117" s="8" t="s">
        <v>348</v>
      </c>
      <c r="F117" t="s">
        <v>40</v>
      </c>
      <c r="G117" t="s">
        <v>35</v>
      </c>
      <c r="H117" s="4">
        <v>6.8</v>
      </c>
      <c r="I117" t="str">
        <f t="shared" si="1"/>
        <v>Macrodon ancylodonBangamary</v>
      </c>
    </row>
    <row r="118" spans="1:9" x14ac:dyDescent="0.35">
      <c r="A118" s="8">
        <v>6</v>
      </c>
      <c r="B118" s="8">
        <v>2015</v>
      </c>
      <c r="C118" s="8">
        <v>11</v>
      </c>
      <c r="D118" s="8" t="s">
        <v>173</v>
      </c>
      <c r="E118" s="8" t="s">
        <v>348</v>
      </c>
      <c r="F118" t="s">
        <v>50</v>
      </c>
      <c r="G118" t="s">
        <v>56</v>
      </c>
      <c r="H118" s="4">
        <v>0.6</v>
      </c>
      <c r="I118" t="str">
        <f t="shared" si="1"/>
        <v>Trichiurus lepturusSilverbelt</v>
      </c>
    </row>
    <row r="119" spans="1:9" x14ac:dyDescent="0.35">
      <c r="A119" s="8">
        <v>6</v>
      </c>
      <c r="B119" s="8">
        <v>2015</v>
      </c>
      <c r="C119" s="8">
        <v>11</v>
      </c>
      <c r="D119" s="8" t="s">
        <v>173</v>
      </c>
      <c r="E119" s="8" t="s">
        <v>348</v>
      </c>
      <c r="F119" t="s">
        <v>21</v>
      </c>
      <c r="G119" t="s">
        <v>59</v>
      </c>
      <c r="H119" s="4">
        <v>9</v>
      </c>
      <c r="I119" t="str">
        <f t="shared" si="1"/>
        <v>Stellifer micropsRockhead</v>
      </c>
    </row>
    <row r="120" spans="1:9" x14ac:dyDescent="0.35">
      <c r="A120" s="8">
        <v>6</v>
      </c>
      <c r="B120" s="8">
        <v>2015</v>
      </c>
      <c r="C120" s="8">
        <v>11</v>
      </c>
      <c r="D120" s="8" t="s">
        <v>173</v>
      </c>
      <c r="E120" s="8" t="s">
        <v>348</v>
      </c>
      <c r="F120" t="s">
        <v>39</v>
      </c>
      <c r="G120" t="s">
        <v>38</v>
      </c>
      <c r="H120" s="4">
        <v>0.1</v>
      </c>
      <c r="I120" t="str">
        <f t="shared" si="1"/>
        <v>Colomesus psittacusBanded Puffer</v>
      </c>
    </row>
    <row r="121" spans="1:9" x14ac:dyDescent="0.35">
      <c r="A121" s="8">
        <v>7</v>
      </c>
      <c r="B121" s="8">
        <v>2015</v>
      </c>
      <c r="C121" s="8">
        <v>12</v>
      </c>
      <c r="D121" s="8" t="s">
        <v>173</v>
      </c>
      <c r="E121" s="8" t="s">
        <v>348</v>
      </c>
      <c r="F121" t="s">
        <v>54</v>
      </c>
      <c r="G121" t="s">
        <v>55</v>
      </c>
      <c r="H121" s="4">
        <v>0.24449339207048459</v>
      </c>
      <c r="I121" t="str">
        <f t="shared" si="1"/>
        <v>Arius proopsCuirass</v>
      </c>
    </row>
    <row r="122" spans="1:9" x14ac:dyDescent="0.35">
      <c r="A122" s="8">
        <v>7</v>
      </c>
      <c r="B122" s="8">
        <v>2015</v>
      </c>
      <c r="C122" s="8">
        <v>12</v>
      </c>
      <c r="D122" s="8" t="s">
        <v>173</v>
      </c>
      <c r="E122" s="8" t="s">
        <v>348</v>
      </c>
      <c r="F122" t="s">
        <v>6</v>
      </c>
      <c r="G122" t="s">
        <v>37</v>
      </c>
      <c r="H122" s="4">
        <v>0.23568281938325991</v>
      </c>
      <c r="I122" t="str">
        <f t="shared" si="1"/>
        <v>Symphurus plagusiaTongue fish</v>
      </c>
    </row>
    <row r="123" spans="1:9" x14ac:dyDescent="0.35">
      <c r="A123" s="8">
        <v>7</v>
      </c>
      <c r="B123" s="8">
        <v>2015</v>
      </c>
      <c r="C123" s="8">
        <v>12</v>
      </c>
      <c r="D123" s="8" t="s">
        <v>173</v>
      </c>
      <c r="E123" s="8" t="s">
        <v>348</v>
      </c>
      <c r="F123" t="s">
        <v>80</v>
      </c>
      <c r="G123" t="s">
        <v>79</v>
      </c>
      <c r="H123" s="4">
        <v>0.23568281938325991</v>
      </c>
      <c r="I123" t="str">
        <f t="shared" si="1"/>
        <v>Apionichthys dumeriliLongtail Sole</v>
      </c>
    </row>
    <row r="124" spans="1:9" x14ac:dyDescent="0.35">
      <c r="A124" s="8">
        <v>7</v>
      </c>
      <c r="B124" s="8">
        <v>2015</v>
      </c>
      <c r="C124" s="8">
        <v>12</v>
      </c>
      <c r="D124" s="8" t="s">
        <v>173</v>
      </c>
      <c r="E124" s="8" t="s">
        <v>348</v>
      </c>
      <c r="F124" t="s">
        <v>7</v>
      </c>
      <c r="G124" t="s">
        <v>8</v>
      </c>
      <c r="H124" s="4">
        <v>0.12995594713656389</v>
      </c>
      <c r="I124" t="str">
        <f t="shared" si="1"/>
        <v>Achirus achirusDrab Sole</v>
      </c>
    </row>
    <row r="125" spans="1:9" x14ac:dyDescent="0.35">
      <c r="A125" s="8">
        <v>7</v>
      </c>
      <c r="B125" s="8">
        <v>2015</v>
      </c>
      <c r="C125" s="8">
        <v>12</v>
      </c>
      <c r="D125" s="8" t="s">
        <v>173</v>
      </c>
      <c r="E125" s="8" t="s">
        <v>348</v>
      </c>
      <c r="F125" t="s">
        <v>43</v>
      </c>
      <c r="G125" t="s">
        <v>57</v>
      </c>
      <c r="H125" s="4">
        <v>5.3149779735682818</v>
      </c>
      <c r="I125" t="str">
        <f t="shared" si="1"/>
        <v>Cynoscion virescensSeatrout</v>
      </c>
    </row>
    <row r="126" spans="1:9" x14ac:dyDescent="0.35">
      <c r="A126" s="8">
        <v>7</v>
      </c>
      <c r="B126" s="8">
        <v>2015</v>
      </c>
      <c r="C126" s="8">
        <v>12</v>
      </c>
      <c r="D126" s="8" t="s">
        <v>173</v>
      </c>
      <c r="E126" s="8" t="s">
        <v>348</v>
      </c>
      <c r="F126" t="s">
        <v>350</v>
      </c>
      <c r="G126" t="s">
        <v>12</v>
      </c>
      <c r="H126" s="4">
        <v>0.75330396475770922</v>
      </c>
      <c r="I126" t="str">
        <f t="shared" si="1"/>
        <v>Batrachoides  surinamensisPacu</v>
      </c>
    </row>
    <row r="127" spans="1:9" x14ac:dyDescent="0.35">
      <c r="A127" s="8">
        <v>7</v>
      </c>
      <c r="B127" s="8">
        <v>2015</v>
      </c>
      <c r="C127" s="8">
        <v>12</v>
      </c>
      <c r="D127" s="8" t="s">
        <v>173</v>
      </c>
      <c r="E127" s="8" t="s">
        <v>348</v>
      </c>
      <c r="F127" t="s">
        <v>283</v>
      </c>
      <c r="G127" t="s">
        <v>284</v>
      </c>
      <c r="H127" s="4">
        <v>0.18061674008810572</v>
      </c>
      <c r="I127" t="str">
        <f t="shared" si="1"/>
        <v>Paralonchurus braziliensisBanded croaker</v>
      </c>
    </row>
    <row r="128" spans="1:9" x14ac:dyDescent="0.35">
      <c r="A128" s="8">
        <v>7</v>
      </c>
      <c r="B128" s="8">
        <v>2015</v>
      </c>
      <c r="C128" s="8">
        <v>12</v>
      </c>
      <c r="D128" s="8" t="s">
        <v>173</v>
      </c>
      <c r="E128" s="8" t="s">
        <v>348</v>
      </c>
      <c r="F128" t="s">
        <v>42</v>
      </c>
      <c r="G128" t="s">
        <v>126</v>
      </c>
      <c r="H128" s="4">
        <v>0.99559471365638763</v>
      </c>
      <c r="I128" t="str">
        <f t="shared" si="1"/>
        <v>Paralonchurus  elegansChinese Butterfish</v>
      </c>
    </row>
    <row r="129" spans="1:9" x14ac:dyDescent="0.35">
      <c r="A129" s="8">
        <v>7</v>
      </c>
      <c r="B129" s="8">
        <v>2015</v>
      </c>
      <c r="C129" s="8">
        <v>12</v>
      </c>
      <c r="D129" s="8" t="s">
        <v>173</v>
      </c>
      <c r="E129" s="8" t="s">
        <v>348</v>
      </c>
      <c r="F129" t="s">
        <v>15</v>
      </c>
      <c r="G129" t="s">
        <v>16</v>
      </c>
      <c r="H129" s="4">
        <v>5.6343612334801758</v>
      </c>
      <c r="I129" t="str">
        <f t="shared" si="1"/>
        <v>Nebris micropsButterfish</v>
      </c>
    </row>
    <row r="130" spans="1:9" x14ac:dyDescent="0.35">
      <c r="A130" s="8">
        <v>7</v>
      </c>
      <c r="B130" s="8">
        <v>2015</v>
      </c>
      <c r="C130" s="8">
        <v>12</v>
      </c>
      <c r="D130" s="8" t="s">
        <v>173</v>
      </c>
      <c r="E130" s="8" t="s">
        <v>348</v>
      </c>
      <c r="F130" t="s">
        <v>17</v>
      </c>
      <c r="G130" t="s">
        <v>34</v>
      </c>
      <c r="H130" s="4">
        <v>5.7268722466960353E-2</v>
      </c>
      <c r="I130" t="str">
        <f t="shared" si="1"/>
        <v>Larimus brevicepsSilver Snapper</v>
      </c>
    </row>
    <row r="131" spans="1:9" x14ac:dyDescent="0.35">
      <c r="A131" s="8">
        <v>7</v>
      </c>
      <c r="B131" s="8">
        <v>2015</v>
      </c>
      <c r="C131" s="8">
        <v>12</v>
      </c>
      <c r="D131" s="8" t="s">
        <v>173</v>
      </c>
      <c r="E131" s="8" t="s">
        <v>348</v>
      </c>
      <c r="F131" t="s">
        <v>40</v>
      </c>
      <c r="G131" t="s">
        <v>35</v>
      </c>
      <c r="H131" s="4">
        <v>1.4185022026431717</v>
      </c>
      <c r="I131" t="str">
        <f t="shared" ref="I131:I194" si="2">CONCATENATE(F131,G131)</f>
        <v>Macrodon ancylodonBangamary</v>
      </c>
    </row>
    <row r="132" spans="1:9" x14ac:dyDescent="0.35">
      <c r="A132" s="8">
        <v>7</v>
      </c>
      <c r="B132" s="8">
        <v>2015</v>
      </c>
      <c r="C132" s="8">
        <v>12</v>
      </c>
      <c r="D132" s="8" t="s">
        <v>173</v>
      </c>
      <c r="E132" s="8" t="s">
        <v>348</v>
      </c>
      <c r="F132" t="s">
        <v>21</v>
      </c>
      <c r="G132" t="s">
        <v>59</v>
      </c>
      <c r="H132" s="4">
        <v>1.4008810572687225</v>
      </c>
      <c r="I132" t="str">
        <f t="shared" si="2"/>
        <v>Stellifer micropsRockhead</v>
      </c>
    </row>
    <row r="133" spans="1:9" x14ac:dyDescent="0.35">
      <c r="A133" s="8">
        <v>7</v>
      </c>
      <c r="B133" s="8">
        <v>2015</v>
      </c>
      <c r="C133" s="8">
        <v>12</v>
      </c>
      <c r="D133" s="8" t="s">
        <v>173</v>
      </c>
      <c r="E133" s="8" t="s">
        <v>348</v>
      </c>
      <c r="F133" t="s">
        <v>3</v>
      </c>
      <c r="G133" t="s">
        <v>32</v>
      </c>
      <c r="H133" s="4">
        <v>1.0925110132158591</v>
      </c>
      <c r="I133" t="str">
        <f t="shared" si="2"/>
        <v>Ophichtus gomesiShrimp Eel</v>
      </c>
    </row>
    <row r="134" spans="1:9" x14ac:dyDescent="0.35">
      <c r="A134" s="8">
        <v>8</v>
      </c>
      <c r="B134" s="8">
        <v>2016</v>
      </c>
      <c r="C134" s="8">
        <v>1</v>
      </c>
      <c r="D134" s="8" t="s">
        <v>173</v>
      </c>
      <c r="E134" s="8" t="s">
        <v>348</v>
      </c>
      <c r="F134" t="s">
        <v>1</v>
      </c>
      <c r="G134" t="s">
        <v>291</v>
      </c>
      <c r="H134" s="4">
        <v>52.800000000000004</v>
      </c>
      <c r="I134" t="str">
        <f t="shared" si="2"/>
        <v>Dastyis guttataLongnose stingray</v>
      </c>
    </row>
    <row r="135" spans="1:9" x14ac:dyDescent="0.35">
      <c r="A135" s="8">
        <v>8</v>
      </c>
      <c r="B135" s="8">
        <v>2016</v>
      </c>
      <c r="C135" s="8">
        <v>1</v>
      </c>
      <c r="D135" s="8" t="s">
        <v>173</v>
      </c>
      <c r="E135" s="8" t="s">
        <v>348</v>
      </c>
      <c r="F135" t="s">
        <v>2</v>
      </c>
      <c r="G135" t="s">
        <v>307</v>
      </c>
      <c r="H135" s="4">
        <v>11</v>
      </c>
      <c r="I135" t="str">
        <f t="shared" si="2"/>
        <v>Gymnura micruraButterfly stingray</v>
      </c>
    </row>
    <row r="136" spans="1:9" x14ac:dyDescent="0.35">
      <c r="A136" s="8">
        <v>8</v>
      </c>
      <c r="B136" s="8">
        <v>2016</v>
      </c>
      <c r="C136" s="8">
        <v>1</v>
      </c>
      <c r="D136" s="8" t="s">
        <v>173</v>
      </c>
      <c r="E136" s="8" t="s">
        <v>348</v>
      </c>
      <c r="F136" t="s">
        <v>352</v>
      </c>
      <c r="G136" t="s">
        <v>0</v>
      </c>
      <c r="H136" s="4">
        <v>0.11013215859030837</v>
      </c>
      <c r="I136" t="str">
        <f t="shared" si="2"/>
        <v>Narcine brasiliensisBrazilian Electric Ray</v>
      </c>
    </row>
    <row r="137" spans="1:9" x14ac:dyDescent="0.35">
      <c r="A137" s="8">
        <v>8</v>
      </c>
      <c r="B137" s="8">
        <v>2016</v>
      </c>
      <c r="C137" s="8">
        <v>1</v>
      </c>
      <c r="D137" s="8" t="s">
        <v>173</v>
      </c>
      <c r="E137" s="8" t="s">
        <v>348</v>
      </c>
      <c r="F137" t="s">
        <v>54</v>
      </c>
      <c r="G137" t="s">
        <v>55</v>
      </c>
      <c r="H137" s="4">
        <v>4.3</v>
      </c>
      <c r="I137" t="str">
        <f t="shared" si="2"/>
        <v>Arius proopsCuirass</v>
      </c>
    </row>
    <row r="138" spans="1:9" x14ac:dyDescent="0.35">
      <c r="A138" s="8">
        <v>8</v>
      </c>
      <c r="B138" s="8">
        <v>2016</v>
      </c>
      <c r="C138" s="8">
        <v>1</v>
      </c>
      <c r="D138" s="8" t="s">
        <v>173</v>
      </c>
      <c r="E138" s="8" t="s">
        <v>348</v>
      </c>
      <c r="F138" t="s">
        <v>6</v>
      </c>
      <c r="G138" t="s">
        <v>37</v>
      </c>
      <c r="H138" s="4">
        <v>34.1</v>
      </c>
      <c r="I138" t="str">
        <f t="shared" si="2"/>
        <v>Symphurus plagusiaTongue fish</v>
      </c>
    </row>
    <row r="139" spans="1:9" x14ac:dyDescent="0.35">
      <c r="A139" s="8">
        <v>8</v>
      </c>
      <c r="B139" s="8">
        <v>2016</v>
      </c>
      <c r="C139" s="8">
        <v>1</v>
      </c>
      <c r="D139" s="8" t="s">
        <v>173</v>
      </c>
      <c r="E139" s="8" t="s">
        <v>348</v>
      </c>
      <c r="F139" t="s">
        <v>80</v>
      </c>
      <c r="G139" t="s">
        <v>79</v>
      </c>
      <c r="H139" s="4">
        <v>0.55947136563876654</v>
      </c>
      <c r="I139" t="str">
        <f t="shared" si="2"/>
        <v>Apionichthys dumeriliLongtail Sole</v>
      </c>
    </row>
    <row r="140" spans="1:9" x14ac:dyDescent="0.35">
      <c r="A140" s="8">
        <v>8</v>
      </c>
      <c r="B140" s="8">
        <v>2016</v>
      </c>
      <c r="C140" s="8">
        <v>1</v>
      </c>
      <c r="D140" s="8" t="s">
        <v>173</v>
      </c>
      <c r="E140" s="8" t="s">
        <v>348</v>
      </c>
      <c r="F140" t="s">
        <v>43</v>
      </c>
      <c r="G140" t="s">
        <v>57</v>
      </c>
      <c r="H140" s="4">
        <v>56.1</v>
      </c>
      <c r="I140" t="str">
        <f t="shared" si="2"/>
        <v>Cynoscion virescensSeatrout</v>
      </c>
    </row>
    <row r="141" spans="1:9" x14ac:dyDescent="0.35">
      <c r="A141" s="8">
        <v>8</v>
      </c>
      <c r="B141" s="8">
        <v>2016</v>
      </c>
      <c r="C141" s="8">
        <v>1</v>
      </c>
      <c r="D141" s="8" t="s">
        <v>173</v>
      </c>
      <c r="E141" s="8" t="s">
        <v>348</v>
      </c>
      <c r="F141" t="s">
        <v>5</v>
      </c>
      <c r="G141" t="s">
        <v>4</v>
      </c>
      <c r="H141" s="4">
        <v>1.7</v>
      </c>
      <c r="I141" t="str">
        <f t="shared" si="2"/>
        <v>Bagre bagreCatfish</v>
      </c>
    </row>
    <row r="142" spans="1:9" x14ac:dyDescent="0.35">
      <c r="A142" s="8">
        <v>8</v>
      </c>
      <c r="B142" s="8">
        <v>2016</v>
      </c>
      <c r="C142" s="8">
        <v>1</v>
      </c>
      <c r="D142" s="8" t="s">
        <v>173</v>
      </c>
      <c r="E142" s="8" t="s">
        <v>348</v>
      </c>
      <c r="F142" t="s">
        <v>18</v>
      </c>
      <c r="G142" t="s">
        <v>81</v>
      </c>
      <c r="H142" s="4">
        <v>2</v>
      </c>
      <c r="I142" t="str">
        <f t="shared" si="2"/>
        <v>Genyatremus leteusAnnafolk</v>
      </c>
    </row>
    <row r="143" spans="1:9" x14ac:dyDescent="0.35">
      <c r="A143" s="8">
        <v>8</v>
      </c>
      <c r="B143" s="8">
        <v>2016</v>
      </c>
      <c r="C143" s="8">
        <v>1</v>
      </c>
      <c r="D143" s="8" t="s">
        <v>173</v>
      </c>
      <c r="E143" s="8" t="s">
        <v>348</v>
      </c>
      <c r="F143" t="s">
        <v>13</v>
      </c>
      <c r="G143" t="s">
        <v>14</v>
      </c>
      <c r="H143" s="4">
        <v>0.17180616740088106</v>
      </c>
      <c r="I143" t="str">
        <f t="shared" si="2"/>
        <v>Harengula jaguanaHerring</v>
      </c>
    </row>
    <row r="144" spans="1:9" x14ac:dyDescent="0.35">
      <c r="A144" s="8">
        <v>8</v>
      </c>
      <c r="B144" s="8">
        <v>2016</v>
      </c>
      <c r="C144" s="8">
        <v>1</v>
      </c>
      <c r="D144" s="8" t="s">
        <v>173</v>
      </c>
      <c r="E144" s="8" t="s">
        <v>348</v>
      </c>
      <c r="F144" t="s">
        <v>40</v>
      </c>
      <c r="G144" t="s">
        <v>35</v>
      </c>
      <c r="H144" s="4">
        <v>38.5</v>
      </c>
      <c r="I144" t="str">
        <f t="shared" si="2"/>
        <v>Macrodon ancylodonBangamary</v>
      </c>
    </row>
    <row r="145" spans="1:9" x14ac:dyDescent="0.35">
      <c r="A145" s="8">
        <v>8</v>
      </c>
      <c r="B145" s="8">
        <v>2016</v>
      </c>
      <c r="C145" s="8">
        <v>1</v>
      </c>
      <c r="D145" s="8" t="s">
        <v>173</v>
      </c>
      <c r="E145" s="8" t="s">
        <v>348</v>
      </c>
      <c r="F145" t="s">
        <v>50</v>
      </c>
      <c r="G145" t="s">
        <v>56</v>
      </c>
      <c r="H145" s="4">
        <v>0.35462555066079293</v>
      </c>
      <c r="I145" t="str">
        <f t="shared" si="2"/>
        <v>Trichiurus lepturusSilverbelt</v>
      </c>
    </row>
    <row r="146" spans="1:9" x14ac:dyDescent="0.35">
      <c r="A146" s="8">
        <v>8</v>
      </c>
      <c r="B146" s="8">
        <v>2016</v>
      </c>
      <c r="C146" s="8">
        <v>1</v>
      </c>
      <c r="D146" s="8" t="s">
        <v>173</v>
      </c>
      <c r="E146" s="8" t="s">
        <v>348</v>
      </c>
      <c r="F146" t="s">
        <v>41</v>
      </c>
      <c r="G146" t="s">
        <v>10</v>
      </c>
      <c r="H146" s="4">
        <v>0.97356828193832601</v>
      </c>
      <c r="I146" t="str">
        <f t="shared" si="2"/>
        <v>Chaetodipterus faberSea Donkey</v>
      </c>
    </row>
    <row r="147" spans="1:9" x14ac:dyDescent="0.35">
      <c r="A147" s="8">
        <v>8</v>
      </c>
      <c r="B147" s="8">
        <v>2016</v>
      </c>
      <c r="C147" s="8">
        <v>1</v>
      </c>
      <c r="D147" s="8" t="s">
        <v>173</v>
      </c>
      <c r="E147" s="8" t="s">
        <v>348</v>
      </c>
      <c r="F147" t="s">
        <v>21</v>
      </c>
      <c r="G147" t="s">
        <v>59</v>
      </c>
      <c r="H147" s="4">
        <v>83.6</v>
      </c>
      <c r="I147" t="str">
        <f t="shared" si="2"/>
        <v>Stellifer micropsRockhead</v>
      </c>
    </row>
    <row r="148" spans="1:9" x14ac:dyDescent="0.35">
      <c r="A148" s="8">
        <v>8</v>
      </c>
      <c r="B148" s="8">
        <v>2016</v>
      </c>
      <c r="C148" s="8">
        <v>1</v>
      </c>
      <c r="D148" s="8" t="s">
        <v>173</v>
      </c>
      <c r="E148" s="8" t="s">
        <v>348</v>
      </c>
      <c r="F148" t="s">
        <v>84</v>
      </c>
      <c r="G148" t="s">
        <v>59</v>
      </c>
      <c r="H148" s="4">
        <v>0.24889867841409691</v>
      </c>
      <c r="I148" t="str">
        <f t="shared" si="2"/>
        <v>Ctenosciaena gracilicirrhusRockhead</v>
      </c>
    </row>
    <row r="149" spans="1:9" x14ac:dyDescent="0.35">
      <c r="A149" s="8">
        <v>8</v>
      </c>
      <c r="B149" s="8">
        <v>2016</v>
      </c>
      <c r="C149" s="8">
        <v>1</v>
      </c>
      <c r="D149" s="8" t="s">
        <v>173</v>
      </c>
      <c r="E149" s="8" t="s">
        <v>348</v>
      </c>
      <c r="F149" t="s">
        <v>283</v>
      </c>
      <c r="G149" t="s">
        <v>284</v>
      </c>
      <c r="H149" s="4">
        <v>2.2999999999999998</v>
      </c>
      <c r="I149" t="str">
        <f t="shared" si="2"/>
        <v>Paralonchurus braziliensisBanded croaker</v>
      </c>
    </row>
    <row r="150" spans="1:9" x14ac:dyDescent="0.35">
      <c r="A150" s="8">
        <v>8</v>
      </c>
      <c r="B150" s="8">
        <v>2016</v>
      </c>
      <c r="C150" s="8">
        <v>1</v>
      </c>
      <c r="D150" s="8" t="s">
        <v>173</v>
      </c>
      <c r="E150" s="8" t="s">
        <v>348</v>
      </c>
      <c r="F150" t="s">
        <v>42</v>
      </c>
      <c r="G150" t="s">
        <v>126</v>
      </c>
      <c r="H150" s="4">
        <v>0.2</v>
      </c>
      <c r="I150" t="str">
        <f t="shared" si="2"/>
        <v>Paralonchurus  elegansChinese Butterfish</v>
      </c>
    </row>
    <row r="151" spans="1:9" x14ac:dyDescent="0.35">
      <c r="A151" s="8">
        <v>8</v>
      </c>
      <c r="B151" s="8">
        <v>2016</v>
      </c>
      <c r="C151" s="8">
        <v>1</v>
      </c>
      <c r="D151" s="8" t="s">
        <v>173</v>
      </c>
      <c r="E151" s="8" t="s">
        <v>348</v>
      </c>
      <c r="F151" t="s">
        <v>15</v>
      </c>
      <c r="G151" t="s">
        <v>16</v>
      </c>
      <c r="H151" s="4">
        <v>13.8</v>
      </c>
      <c r="I151" t="str">
        <f t="shared" si="2"/>
        <v>Nebris micropsButterfish</v>
      </c>
    </row>
    <row r="152" spans="1:9" x14ac:dyDescent="0.35">
      <c r="A152" s="8">
        <v>8</v>
      </c>
      <c r="B152" s="8">
        <v>2016</v>
      </c>
      <c r="C152" s="8">
        <v>1</v>
      </c>
      <c r="D152" s="8" t="s">
        <v>173</v>
      </c>
      <c r="E152" s="8" t="s">
        <v>348</v>
      </c>
      <c r="F152" t="s">
        <v>350</v>
      </c>
      <c r="G152" t="s">
        <v>12</v>
      </c>
      <c r="H152" s="4">
        <v>0.5506607929515418</v>
      </c>
      <c r="I152" t="str">
        <f t="shared" si="2"/>
        <v>Batrachoides  surinamensisPacu</v>
      </c>
    </row>
    <row r="153" spans="1:9" x14ac:dyDescent="0.35">
      <c r="A153" s="8">
        <v>8</v>
      </c>
      <c r="B153" s="8">
        <v>2016</v>
      </c>
      <c r="C153" s="8">
        <v>1</v>
      </c>
      <c r="D153" s="8" t="s">
        <v>173</v>
      </c>
      <c r="E153" s="8" t="s">
        <v>348</v>
      </c>
      <c r="F153" t="s">
        <v>83</v>
      </c>
      <c r="G153" t="s">
        <v>82</v>
      </c>
      <c r="H153" s="4">
        <v>0.64317180616740088</v>
      </c>
      <c r="I153" t="str">
        <f t="shared" si="2"/>
        <v>Sphoeroides parvusLeast puffer</v>
      </c>
    </row>
    <row r="154" spans="1:9" x14ac:dyDescent="0.35">
      <c r="A154" s="8">
        <v>8</v>
      </c>
      <c r="B154" s="8">
        <v>2016</v>
      </c>
      <c r="C154" s="8">
        <v>1</v>
      </c>
      <c r="D154" s="8" t="s">
        <v>173</v>
      </c>
      <c r="E154" s="8" t="s">
        <v>348</v>
      </c>
      <c r="F154" t="s">
        <v>23</v>
      </c>
      <c r="G154" t="s">
        <v>24</v>
      </c>
      <c r="H154" s="4">
        <v>9.9118942731277526E-2</v>
      </c>
      <c r="I154" t="str">
        <f t="shared" si="2"/>
        <v>Sphorades testudineusGreen Puffer</v>
      </c>
    </row>
    <row r="155" spans="1:9" x14ac:dyDescent="0.35">
      <c r="A155" s="8">
        <v>8</v>
      </c>
      <c r="B155" s="8">
        <v>2016</v>
      </c>
      <c r="C155" s="8">
        <v>1</v>
      </c>
      <c r="D155" s="8" t="s">
        <v>173</v>
      </c>
      <c r="E155" s="8" t="s">
        <v>348</v>
      </c>
      <c r="F155" t="s">
        <v>63</v>
      </c>
      <c r="G155" t="s">
        <v>62</v>
      </c>
      <c r="H155" s="4">
        <v>2.2026431718061675E-2</v>
      </c>
      <c r="I155" t="str">
        <f t="shared" si="2"/>
        <v>Selene browniMoonfish</v>
      </c>
    </row>
    <row r="156" spans="1:9" x14ac:dyDescent="0.35">
      <c r="A156" s="8">
        <v>8</v>
      </c>
      <c r="B156" s="8">
        <v>2016</v>
      </c>
      <c r="C156" s="8">
        <v>1</v>
      </c>
      <c r="D156" s="8" t="s">
        <v>173</v>
      </c>
      <c r="E156" s="8" t="s">
        <v>348</v>
      </c>
      <c r="F156" t="s">
        <v>13</v>
      </c>
      <c r="G156" t="s">
        <v>14</v>
      </c>
      <c r="H156" s="4">
        <v>0.26431718061674009</v>
      </c>
      <c r="I156" t="str">
        <f t="shared" si="2"/>
        <v>Harengula jaguanaHerring</v>
      </c>
    </row>
    <row r="157" spans="1:9" x14ac:dyDescent="0.35">
      <c r="A157" s="8">
        <v>8</v>
      </c>
      <c r="B157" s="8">
        <v>2016</v>
      </c>
      <c r="C157" s="8">
        <v>1</v>
      </c>
      <c r="D157" s="8" t="s">
        <v>173</v>
      </c>
      <c r="E157" s="8" t="s">
        <v>348</v>
      </c>
      <c r="F157" t="s">
        <v>88</v>
      </c>
      <c r="G157" t="s">
        <v>87</v>
      </c>
      <c r="H157" s="4">
        <v>4.185022026431718E-2</v>
      </c>
      <c r="I157" t="str">
        <f t="shared" si="2"/>
        <v>Diodon holacanthusSpiky Puffer</v>
      </c>
    </row>
    <row r="158" spans="1:9" x14ac:dyDescent="0.35">
      <c r="A158" s="8">
        <v>8</v>
      </c>
      <c r="B158" s="8">
        <v>2016</v>
      </c>
      <c r="C158" s="8">
        <v>1</v>
      </c>
      <c r="D158" s="8" t="s">
        <v>173</v>
      </c>
      <c r="E158" s="8" t="s">
        <v>348</v>
      </c>
      <c r="F158" t="s">
        <v>121</v>
      </c>
      <c r="G158" t="s">
        <v>44</v>
      </c>
      <c r="H158" s="4">
        <v>2.2026431718061675E-2</v>
      </c>
      <c r="I158" t="str">
        <f t="shared" si="2"/>
        <v>Anchoa mitchilliNegli</v>
      </c>
    </row>
    <row r="159" spans="1:9" x14ac:dyDescent="0.35">
      <c r="A159" s="8">
        <v>8</v>
      </c>
      <c r="B159" s="8">
        <v>2016</v>
      </c>
      <c r="C159" s="8">
        <v>1</v>
      </c>
      <c r="D159" s="8" t="s">
        <v>173</v>
      </c>
      <c r="E159" s="8" t="s">
        <v>348</v>
      </c>
      <c r="F159" t="s">
        <v>3</v>
      </c>
      <c r="G159" t="s">
        <v>32</v>
      </c>
      <c r="H159" s="4">
        <v>9</v>
      </c>
      <c r="I159" t="str">
        <f t="shared" si="2"/>
        <v>Ophichtus gomesiShrimp Eel</v>
      </c>
    </row>
    <row r="160" spans="1:9" x14ac:dyDescent="0.35">
      <c r="A160" s="8">
        <v>8</v>
      </c>
      <c r="B160" s="8">
        <v>2016</v>
      </c>
      <c r="C160" s="8">
        <v>1</v>
      </c>
      <c r="D160" s="8" t="s">
        <v>173</v>
      </c>
      <c r="E160" s="8" t="s">
        <v>348</v>
      </c>
      <c r="F160" t="s">
        <v>85</v>
      </c>
      <c r="G160" t="s">
        <v>86</v>
      </c>
      <c r="H160" s="4">
        <v>0.23</v>
      </c>
      <c r="I160" t="str">
        <f t="shared" si="2"/>
        <v>Squilla mantisMantis Shrimp</v>
      </c>
    </row>
    <row r="161" spans="1:9" x14ac:dyDescent="0.35">
      <c r="A161" s="8">
        <v>9</v>
      </c>
      <c r="B161" s="8">
        <v>2016</v>
      </c>
      <c r="C161" s="8">
        <v>2</v>
      </c>
      <c r="D161" s="8" t="s">
        <v>173</v>
      </c>
      <c r="E161" s="8" t="s">
        <v>348</v>
      </c>
      <c r="F161" t="s">
        <v>1</v>
      </c>
      <c r="G161" t="s">
        <v>291</v>
      </c>
      <c r="H161" s="4">
        <v>0.40938796466063954</v>
      </c>
      <c r="I161" t="str">
        <f t="shared" si="2"/>
        <v>Dastyis guttataLongnose stingray</v>
      </c>
    </row>
    <row r="162" spans="1:9" x14ac:dyDescent="0.35">
      <c r="A162" s="8">
        <v>9</v>
      </c>
      <c r="B162" s="8">
        <v>2016</v>
      </c>
      <c r="C162" s="8">
        <v>2</v>
      </c>
      <c r="D162" s="8" t="s">
        <v>173</v>
      </c>
      <c r="E162" s="8" t="s">
        <v>348</v>
      </c>
      <c r="F162" t="s">
        <v>2</v>
      </c>
      <c r="G162" t="s">
        <v>307</v>
      </c>
      <c r="H162" s="4">
        <v>0.90425253732734678</v>
      </c>
      <c r="I162" t="str">
        <f t="shared" si="2"/>
        <v>Gymnura micruraButterfly stingray</v>
      </c>
    </row>
    <row r="163" spans="1:9" x14ac:dyDescent="0.35">
      <c r="A163" s="8">
        <v>9</v>
      </c>
      <c r="B163" s="8">
        <v>2016</v>
      </c>
      <c r="C163" s="8">
        <v>2</v>
      </c>
      <c r="D163" s="8" t="s">
        <v>173</v>
      </c>
      <c r="E163" s="8" t="s">
        <v>348</v>
      </c>
      <c r="F163" t="s">
        <v>129</v>
      </c>
      <c r="G163" t="s">
        <v>306</v>
      </c>
      <c r="H163" s="4">
        <v>0.13946183411516294</v>
      </c>
      <c r="I163" t="str">
        <f t="shared" si="2"/>
        <v>Dasyatis geijskesiSharpsnout stingray</v>
      </c>
    </row>
    <row r="164" spans="1:9" x14ac:dyDescent="0.35">
      <c r="A164" s="8">
        <v>9</v>
      </c>
      <c r="B164" s="8">
        <v>2016</v>
      </c>
      <c r="C164" s="8">
        <v>2</v>
      </c>
      <c r="D164" s="8" t="s">
        <v>173</v>
      </c>
      <c r="E164" s="8" t="s">
        <v>348</v>
      </c>
      <c r="F164" t="s">
        <v>352</v>
      </c>
      <c r="G164" t="s">
        <v>0</v>
      </c>
      <c r="H164" s="4">
        <v>5.0926063296246591</v>
      </c>
      <c r="I164" t="str">
        <f t="shared" si="2"/>
        <v>Narcine brasiliensisBrazilian Electric Ray</v>
      </c>
    </row>
    <row r="165" spans="1:9" x14ac:dyDescent="0.35">
      <c r="A165" s="8">
        <v>9</v>
      </c>
      <c r="B165" s="8">
        <v>2016</v>
      </c>
      <c r="C165" s="8">
        <v>2</v>
      </c>
      <c r="D165" s="8" t="s">
        <v>173</v>
      </c>
      <c r="E165" s="8" t="s">
        <v>348</v>
      </c>
      <c r="F165" t="s">
        <v>5</v>
      </c>
      <c r="G165" t="s">
        <v>4</v>
      </c>
      <c r="H165" s="4">
        <v>2.042441054460773</v>
      </c>
      <c r="I165" t="str">
        <f t="shared" si="2"/>
        <v>Bagre bagreCatfish</v>
      </c>
    </row>
    <row r="166" spans="1:9" x14ac:dyDescent="0.35">
      <c r="A166" s="8">
        <v>9</v>
      </c>
      <c r="B166" s="8">
        <v>2016</v>
      </c>
      <c r="C166" s="8">
        <v>2</v>
      </c>
      <c r="D166" s="8" t="s">
        <v>173</v>
      </c>
      <c r="E166" s="8" t="s">
        <v>348</v>
      </c>
      <c r="F166" t="s">
        <v>6</v>
      </c>
      <c r="G166" t="s">
        <v>37</v>
      </c>
      <c r="H166" s="4">
        <v>16.339528435686184</v>
      </c>
      <c r="I166" t="str">
        <f t="shared" si="2"/>
        <v>Symphurus plagusiaTongue fish</v>
      </c>
    </row>
    <row r="167" spans="1:9" x14ac:dyDescent="0.35">
      <c r="A167" s="8">
        <v>9</v>
      </c>
      <c r="B167" s="8">
        <v>2016</v>
      </c>
      <c r="C167" s="8">
        <v>2</v>
      </c>
      <c r="D167" s="8" t="s">
        <v>173</v>
      </c>
      <c r="E167" s="8" t="s">
        <v>348</v>
      </c>
      <c r="F167" t="s">
        <v>7</v>
      </c>
      <c r="G167" t="s">
        <v>8</v>
      </c>
      <c r="H167" s="4">
        <v>1.3901195723092046</v>
      </c>
      <c r="I167" t="str">
        <f t="shared" si="2"/>
        <v>Achirus achirusDrab Sole</v>
      </c>
    </row>
    <row r="168" spans="1:9" x14ac:dyDescent="0.35">
      <c r="A168" s="8">
        <v>9</v>
      </c>
      <c r="B168" s="8">
        <v>2016</v>
      </c>
      <c r="C168" s="8">
        <v>2</v>
      </c>
      <c r="D168" s="8" t="s">
        <v>173</v>
      </c>
      <c r="E168" s="8" t="s">
        <v>348</v>
      </c>
      <c r="F168" t="s">
        <v>43</v>
      </c>
      <c r="G168" t="s">
        <v>57</v>
      </c>
      <c r="H168" s="4">
        <v>24.509292653529279</v>
      </c>
      <c r="I168" t="str">
        <f t="shared" si="2"/>
        <v>Cynoscion virescensSeatrout</v>
      </c>
    </row>
    <row r="169" spans="1:9" x14ac:dyDescent="0.35">
      <c r="A169" s="8">
        <v>9</v>
      </c>
      <c r="B169" s="8">
        <v>2016</v>
      </c>
      <c r="C169" s="8">
        <v>2</v>
      </c>
      <c r="D169" s="8" t="s">
        <v>173</v>
      </c>
      <c r="E169" s="8" t="s">
        <v>348</v>
      </c>
      <c r="F169" t="s">
        <v>40</v>
      </c>
      <c r="G169" t="s">
        <v>35</v>
      </c>
      <c r="H169" s="4">
        <v>17.973481279254806</v>
      </c>
      <c r="I169" t="str">
        <f t="shared" si="2"/>
        <v>Macrodon ancylodonBangamary</v>
      </c>
    </row>
    <row r="170" spans="1:9" x14ac:dyDescent="0.35">
      <c r="A170" s="8">
        <v>9</v>
      </c>
      <c r="B170" s="8">
        <v>2016</v>
      </c>
      <c r="C170" s="8">
        <v>2</v>
      </c>
      <c r="D170" s="8" t="s">
        <v>173</v>
      </c>
      <c r="E170" s="8" t="s">
        <v>348</v>
      </c>
      <c r="F170" t="s">
        <v>281</v>
      </c>
      <c r="G170" t="s">
        <v>344</v>
      </c>
      <c r="H170" s="26">
        <v>4.4052863436123352E-3</v>
      </c>
      <c r="I170" t="str">
        <f t="shared" si="2"/>
        <v>Chloroscombrus chrysurusAtlantic bumber</v>
      </c>
    </row>
    <row r="171" spans="1:9" x14ac:dyDescent="0.35">
      <c r="A171" s="8">
        <v>9</v>
      </c>
      <c r="B171" s="8">
        <v>2016</v>
      </c>
      <c r="C171" s="8">
        <v>2</v>
      </c>
      <c r="D171" s="8" t="s">
        <v>173</v>
      </c>
      <c r="E171" s="8" t="s">
        <v>348</v>
      </c>
      <c r="F171" t="s">
        <v>50</v>
      </c>
      <c r="G171" t="s">
        <v>56</v>
      </c>
      <c r="H171" s="4">
        <v>0.95823776343644207</v>
      </c>
      <c r="I171" t="str">
        <f t="shared" si="2"/>
        <v>Trichiurus lepturusSilverbelt</v>
      </c>
    </row>
    <row r="172" spans="1:9" x14ac:dyDescent="0.35">
      <c r="A172" s="8">
        <v>9</v>
      </c>
      <c r="B172" s="8">
        <v>2016</v>
      </c>
      <c r="C172" s="8">
        <v>2</v>
      </c>
      <c r="D172" s="8" t="s">
        <v>173</v>
      </c>
      <c r="E172" s="8" t="s">
        <v>348</v>
      </c>
      <c r="F172" t="s">
        <v>21</v>
      </c>
      <c r="G172" t="s">
        <v>59</v>
      </c>
      <c r="H172" s="4">
        <v>8.1697642178430918</v>
      </c>
      <c r="I172" t="str">
        <f t="shared" si="2"/>
        <v>Stellifer micropsRockhead</v>
      </c>
    </row>
    <row r="173" spans="1:9" x14ac:dyDescent="0.35">
      <c r="A173" s="8">
        <v>9</v>
      </c>
      <c r="B173" s="8">
        <v>2016</v>
      </c>
      <c r="C173" s="8">
        <v>2</v>
      </c>
      <c r="D173" s="8" t="s">
        <v>173</v>
      </c>
      <c r="E173" s="8" t="s">
        <v>348</v>
      </c>
      <c r="F173" t="s">
        <v>42</v>
      </c>
      <c r="G173" t="s">
        <v>126</v>
      </c>
      <c r="H173" s="4">
        <v>31.657836344141984</v>
      </c>
      <c r="I173" t="str">
        <f t="shared" si="2"/>
        <v>Paralonchurus  elegansChinese Butterfish</v>
      </c>
    </row>
    <row r="174" spans="1:9" x14ac:dyDescent="0.35">
      <c r="A174" s="8">
        <v>9</v>
      </c>
      <c r="B174" s="8">
        <v>2016</v>
      </c>
      <c r="C174" s="8">
        <v>2</v>
      </c>
      <c r="D174" s="8" t="s">
        <v>173</v>
      </c>
      <c r="E174" s="8" t="s">
        <v>348</v>
      </c>
      <c r="F174" t="s">
        <v>15</v>
      </c>
      <c r="G174" t="s">
        <v>16</v>
      </c>
      <c r="H174" s="4">
        <v>8.1697642178430918</v>
      </c>
      <c r="I174" t="str">
        <f t="shared" si="2"/>
        <v>Nebris micropsButterfish</v>
      </c>
    </row>
    <row r="175" spans="1:9" x14ac:dyDescent="0.35">
      <c r="A175" s="8">
        <v>9</v>
      </c>
      <c r="B175" s="8">
        <v>2016</v>
      </c>
      <c r="C175" s="8">
        <v>2</v>
      </c>
      <c r="D175" s="8" t="s">
        <v>173</v>
      </c>
      <c r="E175" s="8" t="s">
        <v>348</v>
      </c>
      <c r="F175" t="s">
        <v>350</v>
      </c>
      <c r="G175" t="s">
        <v>12</v>
      </c>
      <c r="H175" s="4">
        <v>8.6395256603690704</v>
      </c>
      <c r="I175" t="str">
        <f t="shared" si="2"/>
        <v>Batrachoides  surinamensisPacu</v>
      </c>
    </row>
    <row r="176" spans="1:9" x14ac:dyDescent="0.35">
      <c r="A176" s="8">
        <v>9</v>
      </c>
      <c r="B176" s="8">
        <v>2016</v>
      </c>
      <c r="C176" s="8">
        <v>2</v>
      </c>
      <c r="D176" s="8" t="s">
        <v>173</v>
      </c>
      <c r="E176" s="8" t="s">
        <v>348</v>
      </c>
      <c r="F176" t="s">
        <v>3</v>
      </c>
      <c r="G176" t="s">
        <v>32</v>
      </c>
      <c r="H176" s="4">
        <v>6.1273231633823197</v>
      </c>
      <c r="I176" t="str">
        <f t="shared" si="2"/>
        <v>Ophichtus gomesiShrimp Eel</v>
      </c>
    </row>
    <row r="177" spans="1:9" x14ac:dyDescent="0.35">
      <c r="A177" s="8">
        <v>10</v>
      </c>
      <c r="B177" s="8">
        <v>2016</v>
      </c>
      <c r="C177" s="8">
        <v>3</v>
      </c>
      <c r="D177" s="8" t="s">
        <v>174</v>
      </c>
      <c r="E177" s="8" t="s">
        <v>348</v>
      </c>
      <c r="F177" t="s">
        <v>1</v>
      </c>
      <c r="G177" t="s">
        <v>291</v>
      </c>
      <c r="H177" s="4">
        <v>1.8448065332910928</v>
      </c>
      <c r="I177" t="str">
        <f t="shared" si="2"/>
        <v>Dastyis guttataLongnose stingray</v>
      </c>
    </row>
    <row r="178" spans="1:9" x14ac:dyDescent="0.35">
      <c r="A178" s="8">
        <v>10</v>
      </c>
      <c r="B178" s="8">
        <v>2016</v>
      </c>
      <c r="C178" s="8">
        <v>3</v>
      </c>
      <c r="D178" s="8" t="s">
        <v>174</v>
      </c>
      <c r="E178" s="8" t="s">
        <v>348</v>
      </c>
      <c r="F178" t="s">
        <v>2</v>
      </c>
      <c r="G178" t="s">
        <v>307</v>
      </c>
      <c r="H178" s="4">
        <v>0.33267003059347572</v>
      </c>
      <c r="I178" t="str">
        <f t="shared" si="2"/>
        <v>Gymnura micruraButterfly stingray</v>
      </c>
    </row>
    <row r="179" spans="1:9" x14ac:dyDescent="0.35">
      <c r="A179" s="8">
        <v>10</v>
      </c>
      <c r="B179" s="8">
        <v>2016</v>
      </c>
      <c r="C179" s="8">
        <v>3</v>
      </c>
      <c r="D179" s="8" t="s">
        <v>174</v>
      </c>
      <c r="E179" s="8" t="s">
        <v>348</v>
      </c>
      <c r="F179" t="s">
        <v>5</v>
      </c>
      <c r="G179" t="s">
        <v>4</v>
      </c>
      <c r="H179" s="4">
        <v>4.2642249376072794</v>
      </c>
      <c r="I179" t="str">
        <f t="shared" si="2"/>
        <v>Bagre bagreCatfish</v>
      </c>
    </row>
    <row r="180" spans="1:9" x14ac:dyDescent="0.35">
      <c r="A180" s="8">
        <v>10</v>
      </c>
      <c r="B180" s="8">
        <v>2016</v>
      </c>
      <c r="C180" s="8">
        <v>3</v>
      </c>
      <c r="D180" s="8" t="s">
        <v>174</v>
      </c>
      <c r="E180" s="8" t="s">
        <v>348</v>
      </c>
      <c r="F180" t="s">
        <v>6</v>
      </c>
      <c r="G180" t="s">
        <v>37</v>
      </c>
      <c r="H180" s="4">
        <v>0.3930222628156802</v>
      </c>
      <c r="I180" t="str">
        <f t="shared" si="2"/>
        <v>Symphurus plagusiaTongue fish</v>
      </c>
    </row>
    <row r="181" spans="1:9" x14ac:dyDescent="0.35">
      <c r="A181" s="8">
        <v>10</v>
      </c>
      <c r="B181" s="8">
        <v>2016</v>
      </c>
      <c r="C181" s="8">
        <v>3</v>
      </c>
      <c r="D181" s="8" t="s">
        <v>174</v>
      </c>
      <c r="E181" s="8" t="s">
        <v>348</v>
      </c>
      <c r="F181" t="s">
        <v>43</v>
      </c>
      <c r="G181" t="s">
        <v>57</v>
      </c>
      <c r="H181" s="4">
        <v>74.122792153400326</v>
      </c>
      <c r="I181" t="str">
        <f t="shared" si="2"/>
        <v>Cynoscion virescensSeatrout</v>
      </c>
    </row>
    <row r="182" spans="1:9" x14ac:dyDescent="0.35">
      <c r="A182" s="8">
        <v>10</v>
      </c>
      <c r="B182" s="8">
        <v>2016</v>
      </c>
      <c r="C182" s="8">
        <v>3</v>
      </c>
      <c r="D182" s="8" t="s">
        <v>174</v>
      </c>
      <c r="E182" s="8" t="s">
        <v>348</v>
      </c>
      <c r="F182" t="s">
        <v>40</v>
      </c>
      <c r="G182" t="s">
        <v>35</v>
      </c>
      <c r="H182" s="4">
        <v>10.584955518883319</v>
      </c>
      <c r="I182" t="str">
        <f t="shared" si="2"/>
        <v>Macrodon ancylodonBangamary</v>
      </c>
    </row>
    <row r="183" spans="1:9" x14ac:dyDescent="0.35">
      <c r="A183" s="8">
        <v>10</v>
      </c>
      <c r="B183" s="8">
        <v>2016</v>
      </c>
      <c r="C183" s="8">
        <v>3</v>
      </c>
      <c r="D183" s="8" t="s">
        <v>174</v>
      </c>
      <c r="E183" s="8" t="s">
        <v>348</v>
      </c>
      <c r="F183" t="s">
        <v>50</v>
      </c>
      <c r="G183" t="s">
        <v>56</v>
      </c>
      <c r="H183" s="4">
        <v>2.8979726007111357</v>
      </c>
      <c r="I183" t="str">
        <f t="shared" si="2"/>
        <v>Trichiurus lepturusSilverbelt</v>
      </c>
    </row>
    <row r="184" spans="1:9" x14ac:dyDescent="0.35">
      <c r="A184" s="8">
        <v>10</v>
      </c>
      <c r="B184" s="8">
        <v>2016</v>
      </c>
      <c r="C184" s="8">
        <v>3</v>
      </c>
      <c r="D184" s="8" t="s">
        <v>174</v>
      </c>
      <c r="E184" s="8" t="s">
        <v>348</v>
      </c>
      <c r="F184" t="s">
        <v>21</v>
      </c>
      <c r="G184" t="s">
        <v>59</v>
      </c>
      <c r="H184" s="4">
        <v>12.097092021580936</v>
      </c>
      <c r="I184" t="str">
        <f t="shared" si="2"/>
        <v>Stellifer micropsRockhead</v>
      </c>
    </row>
    <row r="185" spans="1:9" x14ac:dyDescent="0.35">
      <c r="A185" s="8">
        <v>10</v>
      </c>
      <c r="B185" s="8">
        <v>2016</v>
      </c>
      <c r="C185" s="8">
        <v>3</v>
      </c>
      <c r="D185" s="8" t="s">
        <v>174</v>
      </c>
      <c r="E185" s="8" t="s">
        <v>348</v>
      </c>
      <c r="F185" t="s">
        <v>42</v>
      </c>
      <c r="G185" t="s">
        <v>126</v>
      </c>
      <c r="H185" s="4">
        <v>7.5606825134880848</v>
      </c>
      <c r="I185" t="str">
        <f t="shared" si="2"/>
        <v>Paralonchurus  elegansChinese Butterfish</v>
      </c>
    </row>
    <row r="186" spans="1:9" x14ac:dyDescent="0.35">
      <c r="A186" s="8">
        <v>10</v>
      </c>
      <c r="B186" s="8">
        <v>2016</v>
      </c>
      <c r="C186" s="8">
        <v>3</v>
      </c>
      <c r="D186" s="8" t="s">
        <v>174</v>
      </c>
      <c r="E186" s="8" t="s">
        <v>348</v>
      </c>
      <c r="F186" t="s">
        <v>15</v>
      </c>
      <c r="G186" t="s">
        <v>16</v>
      </c>
      <c r="H186" s="4">
        <v>24.707597384466769</v>
      </c>
      <c r="I186" t="str">
        <f t="shared" si="2"/>
        <v>Nebris micropsButterfish</v>
      </c>
    </row>
    <row r="187" spans="1:9" x14ac:dyDescent="0.35">
      <c r="A187" s="8">
        <v>10</v>
      </c>
      <c r="B187" s="8">
        <v>2016</v>
      </c>
      <c r="C187" s="8">
        <v>3</v>
      </c>
      <c r="D187" s="8" t="s">
        <v>174</v>
      </c>
      <c r="E187" s="8" t="s">
        <v>348</v>
      </c>
      <c r="F187" t="s">
        <v>350</v>
      </c>
      <c r="G187" t="s">
        <v>12</v>
      </c>
      <c r="H187" s="4">
        <v>4.2339822075533275</v>
      </c>
      <c r="I187" t="str">
        <f t="shared" si="2"/>
        <v>Batrachoides  surinamensisPacu</v>
      </c>
    </row>
    <row r="188" spans="1:9" x14ac:dyDescent="0.35">
      <c r="A188" s="8">
        <v>10</v>
      </c>
      <c r="B188" s="8">
        <v>2016</v>
      </c>
      <c r="C188" s="8">
        <v>3</v>
      </c>
      <c r="D188" s="8" t="s">
        <v>174</v>
      </c>
      <c r="E188" s="8" t="s">
        <v>348</v>
      </c>
      <c r="F188" t="s">
        <v>3</v>
      </c>
      <c r="G188" t="s">
        <v>32</v>
      </c>
      <c r="H188" s="4">
        <v>19.960201835608544</v>
      </c>
      <c r="I188" t="str">
        <f t="shared" si="2"/>
        <v>Ophichtus gomesiShrimp Eel</v>
      </c>
    </row>
    <row r="189" spans="1:9" x14ac:dyDescent="0.35">
      <c r="A189" s="8">
        <v>11</v>
      </c>
      <c r="B189" s="8">
        <v>2016</v>
      </c>
      <c r="C189" s="8">
        <v>4</v>
      </c>
      <c r="D189" s="8" t="s">
        <v>174</v>
      </c>
      <c r="E189" s="8" t="s">
        <v>348</v>
      </c>
      <c r="F189" t="s">
        <v>1</v>
      </c>
      <c r="G189" t="s">
        <v>291</v>
      </c>
      <c r="H189" s="4">
        <v>3.977957637334252</v>
      </c>
      <c r="I189" t="str">
        <f t="shared" si="2"/>
        <v>Dastyis guttataLongnose stingray</v>
      </c>
    </row>
    <row r="190" spans="1:9" x14ac:dyDescent="0.35">
      <c r="A190" s="8">
        <v>11</v>
      </c>
      <c r="B190" s="8">
        <v>2016</v>
      </c>
      <c r="C190" s="8">
        <v>4</v>
      </c>
      <c r="D190" s="8" t="s">
        <v>174</v>
      </c>
      <c r="E190" s="8" t="s">
        <v>348</v>
      </c>
      <c r="F190" t="s">
        <v>2</v>
      </c>
      <c r="G190" t="s">
        <v>307</v>
      </c>
      <c r="H190" s="4">
        <v>10.82888467940991</v>
      </c>
      <c r="I190" t="str">
        <f t="shared" si="2"/>
        <v>Gymnura micruraButterfly stingray</v>
      </c>
    </row>
    <row r="191" spans="1:9" x14ac:dyDescent="0.35">
      <c r="A191" s="8">
        <v>11</v>
      </c>
      <c r="B191" s="8">
        <v>2016</v>
      </c>
      <c r="C191" s="8">
        <v>4</v>
      </c>
      <c r="D191" s="8" t="s">
        <v>174</v>
      </c>
      <c r="E191" s="8" t="s">
        <v>348</v>
      </c>
      <c r="F191" t="s">
        <v>5</v>
      </c>
      <c r="G191" t="s">
        <v>4</v>
      </c>
      <c r="H191" s="4">
        <v>9.7583376384822902</v>
      </c>
      <c r="I191" t="str">
        <f t="shared" si="2"/>
        <v>Bagre bagreCatfish</v>
      </c>
    </row>
    <row r="192" spans="1:9" x14ac:dyDescent="0.35">
      <c r="A192" s="8">
        <v>11</v>
      </c>
      <c r="B192" s="8">
        <v>2016</v>
      </c>
      <c r="C192" s="8">
        <v>4</v>
      </c>
      <c r="D192" s="8" t="s">
        <v>174</v>
      </c>
      <c r="E192" s="8" t="s">
        <v>348</v>
      </c>
      <c r="F192" t="s">
        <v>6</v>
      </c>
      <c r="G192" t="s">
        <v>37</v>
      </c>
      <c r="H192" s="4">
        <v>0.86102979163079041</v>
      </c>
      <c r="I192" t="str">
        <f t="shared" si="2"/>
        <v>Symphurus plagusiaTongue fish</v>
      </c>
    </row>
    <row r="193" spans="1:9" x14ac:dyDescent="0.35">
      <c r="A193" s="8">
        <v>11</v>
      </c>
      <c r="B193" s="8">
        <v>2016</v>
      </c>
      <c r="C193" s="8">
        <v>4</v>
      </c>
      <c r="D193" s="8" t="s">
        <v>174</v>
      </c>
      <c r="E193" s="8" t="s">
        <v>348</v>
      </c>
      <c r="F193" t="s">
        <v>7</v>
      </c>
      <c r="G193" t="s">
        <v>8</v>
      </c>
      <c r="H193" s="4">
        <v>0.57401986108719361</v>
      </c>
      <c r="I193" t="str">
        <f t="shared" si="2"/>
        <v>Achirus achirusDrab Sole</v>
      </c>
    </row>
    <row r="194" spans="1:9" x14ac:dyDescent="0.35">
      <c r="A194" s="8">
        <v>11</v>
      </c>
      <c r="B194" s="8">
        <v>2016</v>
      </c>
      <c r="C194" s="8">
        <v>4</v>
      </c>
      <c r="D194" s="8" t="s">
        <v>174</v>
      </c>
      <c r="E194" s="8" t="s">
        <v>348</v>
      </c>
      <c r="F194" t="s">
        <v>43</v>
      </c>
      <c r="G194" t="s">
        <v>57</v>
      </c>
      <c r="H194" s="4">
        <v>18.94265541587739</v>
      </c>
      <c r="I194" t="str">
        <f t="shared" si="2"/>
        <v>Cynoscion virescensSeatrout</v>
      </c>
    </row>
    <row r="195" spans="1:9" x14ac:dyDescent="0.35">
      <c r="A195" s="8">
        <v>11</v>
      </c>
      <c r="B195" s="8">
        <v>2016</v>
      </c>
      <c r="C195" s="8">
        <v>4</v>
      </c>
      <c r="D195" s="8" t="s">
        <v>174</v>
      </c>
      <c r="E195" s="8" t="s">
        <v>348</v>
      </c>
      <c r="F195" t="s">
        <v>40</v>
      </c>
      <c r="G195" t="s">
        <v>35</v>
      </c>
      <c r="H195" s="4">
        <v>77.492681246771141</v>
      </c>
      <c r="I195" t="str">
        <f t="shared" ref="I195:I258" si="3">CONCATENATE(F195,G195)</f>
        <v>Macrodon ancylodonBangamary</v>
      </c>
    </row>
    <row r="196" spans="1:9" x14ac:dyDescent="0.35">
      <c r="A196" s="8">
        <v>11</v>
      </c>
      <c r="B196" s="8">
        <v>2016</v>
      </c>
      <c r="C196" s="8">
        <v>4</v>
      </c>
      <c r="D196" s="8" t="s">
        <v>174</v>
      </c>
      <c r="E196" s="8" t="s">
        <v>348</v>
      </c>
      <c r="F196" t="s">
        <v>11</v>
      </c>
      <c r="G196" t="s">
        <v>282</v>
      </c>
      <c r="H196" s="4">
        <v>1.4350496527179841</v>
      </c>
      <c r="I196" t="str">
        <f t="shared" si="3"/>
        <v>Centropomus pectinatus Chinese snook</v>
      </c>
    </row>
    <row r="197" spans="1:9" x14ac:dyDescent="0.35">
      <c r="A197" s="8">
        <v>11</v>
      </c>
      <c r="B197" s="8">
        <v>2016</v>
      </c>
      <c r="C197" s="8">
        <v>4</v>
      </c>
      <c r="D197" s="8" t="s">
        <v>174</v>
      </c>
      <c r="E197" s="8" t="s">
        <v>348</v>
      </c>
      <c r="F197" t="s">
        <v>39</v>
      </c>
      <c r="G197" t="s">
        <v>38</v>
      </c>
      <c r="H197" s="4">
        <v>6.6012284025027261</v>
      </c>
      <c r="I197" t="str">
        <f t="shared" si="3"/>
        <v>Colomesus psittacusBanded Puffer</v>
      </c>
    </row>
    <row r="198" spans="1:9" x14ac:dyDescent="0.35">
      <c r="A198" s="8">
        <v>11</v>
      </c>
      <c r="B198" s="8">
        <v>2016</v>
      </c>
      <c r="C198" s="8">
        <v>4</v>
      </c>
      <c r="D198" s="8" t="s">
        <v>174</v>
      </c>
      <c r="E198" s="8" t="s">
        <v>348</v>
      </c>
      <c r="F198" t="s">
        <v>21</v>
      </c>
      <c r="G198" t="s">
        <v>59</v>
      </c>
      <c r="H198" s="4">
        <v>18.368635554790195</v>
      </c>
      <c r="I198" t="str">
        <f t="shared" si="3"/>
        <v>Stellifer micropsRockhead</v>
      </c>
    </row>
    <row r="199" spans="1:9" x14ac:dyDescent="0.35">
      <c r="A199" s="8">
        <v>11</v>
      </c>
      <c r="B199" s="8">
        <v>2016</v>
      </c>
      <c r="C199" s="8">
        <v>4</v>
      </c>
      <c r="D199" s="8" t="s">
        <v>174</v>
      </c>
      <c r="E199" s="8" t="s">
        <v>348</v>
      </c>
      <c r="F199" t="s">
        <v>42</v>
      </c>
      <c r="G199" t="s">
        <v>126</v>
      </c>
      <c r="H199" s="4">
        <v>2.2673784512944151</v>
      </c>
      <c r="I199" t="str">
        <f t="shared" si="3"/>
        <v>Paralonchurus  elegansChinese Butterfish</v>
      </c>
    </row>
    <row r="200" spans="1:9" x14ac:dyDescent="0.35">
      <c r="A200" s="8">
        <v>11</v>
      </c>
      <c r="B200" s="8">
        <v>2016</v>
      </c>
      <c r="C200" s="8">
        <v>4</v>
      </c>
      <c r="D200" s="8" t="s">
        <v>174</v>
      </c>
      <c r="E200" s="8" t="s">
        <v>348</v>
      </c>
      <c r="F200" t="s">
        <v>122</v>
      </c>
      <c r="G200" t="s">
        <v>53</v>
      </c>
      <c r="H200" s="4">
        <v>0.17220595832615809</v>
      </c>
      <c r="I200" t="str">
        <f t="shared" si="3"/>
        <v>Pellona harroweriRiver Pellona</v>
      </c>
    </row>
    <row r="201" spans="1:9" x14ac:dyDescent="0.35">
      <c r="A201" s="8">
        <v>11</v>
      </c>
      <c r="B201" s="8">
        <v>2016</v>
      </c>
      <c r="C201" s="8">
        <v>4</v>
      </c>
      <c r="D201" s="8" t="s">
        <v>174</v>
      </c>
      <c r="E201" s="8" t="s">
        <v>348</v>
      </c>
      <c r="F201" t="s">
        <v>117</v>
      </c>
      <c r="G201" t="s">
        <v>108</v>
      </c>
      <c r="H201" s="4">
        <v>12.470581482119284</v>
      </c>
      <c r="I201" t="str">
        <f t="shared" si="3"/>
        <v>Lobotes surinamensisPagi</v>
      </c>
    </row>
    <row r="202" spans="1:9" x14ac:dyDescent="0.35">
      <c r="A202" s="8">
        <v>11</v>
      </c>
      <c r="B202" s="8">
        <v>2016</v>
      </c>
      <c r="C202" s="8">
        <v>4</v>
      </c>
      <c r="D202" s="8" t="s">
        <v>174</v>
      </c>
      <c r="E202" s="8" t="s">
        <v>348</v>
      </c>
      <c r="F202" t="s">
        <v>283</v>
      </c>
      <c r="G202" t="s">
        <v>284</v>
      </c>
      <c r="H202" s="4">
        <v>0.37311290970667588</v>
      </c>
      <c r="I202" t="str">
        <f t="shared" si="3"/>
        <v>Paralonchurus braziliensisBanded croaker</v>
      </c>
    </row>
    <row r="203" spans="1:9" x14ac:dyDescent="0.35">
      <c r="A203" s="8">
        <v>11</v>
      </c>
      <c r="B203" s="8">
        <v>2016</v>
      </c>
      <c r="C203" s="8">
        <v>4</v>
      </c>
      <c r="D203" s="8" t="s">
        <v>174</v>
      </c>
      <c r="E203" s="8" t="s">
        <v>348</v>
      </c>
      <c r="F203" t="s">
        <v>50</v>
      </c>
      <c r="G203" t="s">
        <v>56</v>
      </c>
      <c r="H203" s="4">
        <v>1.9803685207508179</v>
      </c>
      <c r="I203" t="str">
        <f t="shared" si="3"/>
        <v>Trichiurus lepturusSilverbelt</v>
      </c>
    </row>
    <row r="204" spans="1:9" x14ac:dyDescent="0.35">
      <c r="A204" s="8">
        <v>11</v>
      </c>
      <c r="B204" s="8">
        <v>2016</v>
      </c>
      <c r="C204" s="8">
        <v>4</v>
      </c>
      <c r="D204" s="8" t="s">
        <v>174</v>
      </c>
      <c r="E204" s="8" t="s">
        <v>348</v>
      </c>
      <c r="F204" t="s">
        <v>15</v>
      </c>
      <c r="G204" t="s">
        <v>16</v>
      </c>
      <c r="H204" s="4">
        <v>31.571092359795649</v>
      </c>
      <c r="I204" t="str">
        <f t="shared" si="3"/>
        <v>Nebris micropsButterfish</v>
      </c>
    </row>
    <row r="205" spans="1:9" x14ac:dyDescent="0.35">
      <c r="A205" s="8">
        <v>11</v>
      </c>
      <c r="B205" s="8">
        <v>2016</v>
      </c>
      <c r="C205" s="8">
        <v>4</v>
      </c>
      <c r="D205" s="8" t="s">
        <v>174</v>
      </c>
      <c r="E205" s="8" t="s">
        <v>348</v>
      </c>
      <c r="F205" t="s">
        <v>350</v>
      </c>
      <c r="G205" t="s">
        <v>12</v>
      </c>
      <c r="H205" s="4">
        <v>0.31571092359795649</v>
      </c>
      <c r="I205" t="str">
        <f t="shared" si="3"/>
        <v>Batrachoides  surinamensisPacu</v>
      </c>
    </row>
    <row r="206" spans="1:9" x14ac:dyDescent="0.35">
      <c r="A206" s="8">
        <v>11</v>
      </c>
      <c r="B206" s="8">
        <v>2016</v>
      </c>
      <c r="C206" s="8">
        <v>4</v>
      </c>
      <c r="D206" s="8" t="s">
        <v>174</v>
      </c>
      <c r="E206" s="8" t="s">
        <v>348</v>
      </c>
      <c r="F206" t="s">
        <v>3</v>
      </c>
      <c r="G206" t="s">
        <v>32</v>
      </c>
      <c r="H206" s="4">
        <v>2.0090695138051777</v>
      </c>
      <c r="I206" t="str">
        <f t="shared" si="3"/>
        <v>Ophichtus gomesiShrimp Eel</v>
      </c>
    </row>
    <row r="207" spans="1:9" x14ac:dyDescent="0.35">
      <c r="A207" s="8">
        <v>12</v>
      </c>
      <c r="B207" s="8">
        <v>2016</v>
      </c>
      <c r="C207" s="8">
        <v>4</v>
      </c>
      <c r="D207" s="8" t="s">
        <v>173</v>
      </c>
      <c r="E207" s="8" t="s">
        <v>348</v>
      </c>
      <c r="F207" t="s">
        <v>1</v>
      </c>
      <c r="G207" t="s">
        <v>291</v>
      </c>
      <c r="H207" s="4">
        <v>23.964143426294822</v>
      </c>
      <c r="I207" t="str">
        <f t="shared" si="3"/>
        <v>Dastyis guttataLongnose stingray</v>
      </c>
    </row>
    <row r="208" spans="1:9" x14ac:dyDescent="0.35">
      <c r="A208" s="8">
        <v>12</v>
      </c>
      <c r="B208" s="8">
        <v>2016</v>
      </c>
      <c r="C208" s="8">
        <v>4</v>
      </c>
      <c r="D208" s="8" t="s">
        <v>173</v>
      </c>
      <c r="E208" s="8" t="s">
        <v>348</v>
      </c>
      <c r="F208" t="s">
        <v>2</v>
      </c>
      <c r="G208" t="s">
        <v>307</v>
      </c>
      <c r="H208" s="4">
        <v>13.313413014608233</v>
      </c>
      <c r="I208" t="str">
        <f t="shared" si="3"/>
        <v>Gymnura micruraButterfly stingray</v>
      </c>
    </row>
    <row r="209" spans="1:9" x14ac:dyDescent="0.35">
      <c r="A209" s="8">
        <v>12</v>
      </c>
      <c r="B209" s="8">
        <v>2016</v>
      </c>
      <c r="C209" s="8">
        <v>4</v>
      </c>
      <c r="D209" s="8" t="s">
        <v>173</v>
      </c>
      <c r="E209" s="8" t="s">
        <v>348</v>
      </c>
      <c r="F209" t="s">
        <v>99</v>
      </c>
      <c r="G209" t="s">
        <v>100</v>
      </c>
      <c r="H209" s="4">
        <v>69.229747675962827</v>
      </c>
      <c r="I209" t="str">
        <f t="shared" si="3"/>
        <v>Rhinoptera bonasusCownose Ray</v>
      </c>
    </row>
    <row r="210" spans="1:9" x14ac:dyDescent="0.35">
      <c r="A210" s="8">
        <v>12</v>
      </c>
      <c r="B210" s="8">
        <v>2016</v>
      </c>
      <c r="C210" s="8">
        <v>4</v>
      </c>
      <c r="D210" s="8" t="s">
        <v>173</v>
      </c>
      <c r="E210" s="8" t="s">
        <v>348</v>
      </c>
      <c r="F210" t="s">
        <v>5</v>
      </c>
      <c r="G210" t="s">
        <v>4</v>
      </c>
      <c r="H210" s="4">
        <v>2.6626826029216466</v>
      </c>
      <c r="I210" t="str">
        <f t="shared" si="3"/>
        <v>Bagre bagreCatfish</v>
      </c>
    </row>
    <row r="211" spans="1:9" x14ac:dyDescent="0.35">
      <c r="A211" s="8">
        <v>12</v>
      </c>
      <c r="B211" s="8">
        <v>2016</v>
      </c>
      <c r="C211" s="8">
        <v>4</v>
      </c>
      <c r="D211" s="8" t="s">
        <v>173</v>
      </c>
      <c r="E211" s="8" t="s">
        <v>348</v>
      </c>
      <c r="F211" t="s">
        <v>6</v>
      </c>
      <c r="G211" t="s">
        <v>37</v>
      </c>
      <c r="H211" s="4">
        <v>1.5976095617529877</v>
      </c>
      <c r="I211" t="str">
        <f t="shared" si="3"/>
        <v>Symphurus plagusiaTongue fish</v>
      </c>
    </row>
    <row r="212" spans="1:9" x14ac:dyDescent="0.35">
      <c r="A212" s="8">
        <v>12</v>
      </c>
      <c r="B212" s="8">
        <v>2016</v>
      </c>
      <c r="C212" s="8">
        <v>4</v>
      </c>
      <c r="D212" s="8" t="s">
        <v>173</v>
      </c>
      <c r="E212" s="8" t="s">
        <v>348</v>
      </c>
      <c r="F212" t="s">
        <v>7</v>
      </c>
      <c r="G212" t="s">
        <v>8</v>
      </c>
      <c r="H212" s="4">
        <v>15.97609561752988</v>
      </c>
      <c r="I212" t="str">
        <f t="shared" si="3"/>
        <v>Achirus achirusDrab Sole</v>
      </c>
    </row>
    <row r="213" spans="1:9" x14ac:dyDescent="0.35">
      <c r="A213" s="8">
        <v>12</v>
      </c>
      <c r="B213" s="8">
        <v>2016</v>
      </c>
      <c r="C213" s="8">
        <v>4</v>
      </c>
      <c r="D213" s="8" t="s">
        <v>173</v>
      </c>
      <c r="E213" s="8" t="s">
        <v>348</v>
      </c>
      <c r="F213" t="s">
        <v>43</v>
      </c>
      <c r="G213" t="s">
        <v>57</v>
      </c>
      <c r="H213" s="4">
        <v>7.9880478087649402</v>
      </c>
      <c r="I213" t="str">
        <f t="shared" si="3"/>
        <v>Cynoscion virescensSeatrout</v>
      </c>
    </row>
    <row r="214" spans="1:9" x14ac:dyDescent="0.35">
      <c r="A214" s="8">
        <v>12</v>
      </c>
      <c r="B214" s="8">
        <v>2016</v>
      </c>
      <c r="C214" s="8">
        <v>4</v>
      </c>
      <c r="D214" s="8" t="s">
        <v>173</v>
      </c>
      <c r="E214" s="8" t="s">
        <v>348</v>
      </c>
      <c r="F214" t="s">
        <v>40</v>
      </c>
      <c r="G214" t="s">
        <v>35</v>
      </c>
      <c r="H214" s="4">
        <v>106.50730411686587</v>
      </c>
      <c r="I214" t="str">
        <f t="shared" si="3"/>
        <v>Macrodon ancylodonBangamary</v>
      </c>
    </row>
    <row r="215" spans="1:9" x14ac:dyDescent="0.35">
      <c r="A215" s="8">
        <v>12</v>
      </c>
      <c r="B215" s="8">
        <v>2016</v>
      </c>
      <c r="C215" s="8">
        <v>4</v>
      </c>
      <c r="D215" s="8" t="s">
        <v>173</v>
      </c>
      <c r="E215" s="8" t="s">
        <v>348</v>
      </c>
      <c r="F215" t="s">
        <v>36</v>
      </c>
      <c r="G215" t="s">
        <v>33</v>
      </c>
      <c r="H215" s="4">
        <v>5.3253652058432932</v>
      </c>
      <c r="I215" t="str">
        <f t="shared" si="3"/>
        <v>Aridae (G) ariusSpring Cuirass</v>
      </c>
    </row>
    <row r="216" spans="1:9" x14ac:dyDescent="0.35">
      <c r="A216" s="8">
        <v>12</v>
      </c>
      <c r="B216" s="8">
        <v>2016</v>
      </c>
      <c r="C216" s="8">
        <v>4</v>
      </c>
      <c r="D216" s="8" t="s">
        <v>173</v>
      </c>
      <c r="E216" s="8" t="s">
        <v>348</v>
      </c>
      <c r="F216" t="s">
        <v>39</v>
      </c>
      <c r="G216" t="s">
        <v>38</v>
      </c>
      <c r="H216" s="4">
        <v>1.3313413014608233</v>
      </c>
      <c r="I216" t="str">
        <f t="shared" si="3"/>
        <v>Colomesus psittacusBanded Puffer</v>
      </c>
    </row>
    <row r="217" spans="1:9" x14ac:dyDescent="0.35">
      <c r="A217" s="8">
        <v>12</v>
      </c>
      <c r="B217" s="8">
        <v>2016</v>
      </c>
      <c r="C217" s="8">
        <v>4</v>
      </c>
      <c r="D217" s="8" t="s">
        <v>173</v>
      </c>
      <c r="E217" s="8" t="s">
        <v>348</v>
      </c>
      <c r="F217" t="s">
        <v>21</v>
      </c>
      <c r="G217" t="s">
        <v>59</v>
      </c>
      <c r="H217" s="4">
        <v>90.531208499336003</v>
      </c>
      <c r="I217" t="str">
        <f t="shared" si="3"/>
        <v>Stellifer micropsRockhead</v>
      </c>
    </row>
    <row r="218" spans="1:9" x14ac:dyDescent="0.35">
      <c r="A218" s="8">
        <v>12</v>
      </c>
      <c r="B218" s="8">
        <v>2016</v>
      </c>
      <c r="C218" s="8">
        <v>4</v>
      </c>
      <c r="D218" s="8" t="s">
        <v>173</v>
      </c>
      <c r="E218" s="8" t="s">
        <v>348</v>
      </c>
      <c r="F218" t="s">
        <v>42</v>
      </c>
      <c r="G218" t="s">
        <v>126</v>
      </c>
      <c r="H218" s="4">
        <v>5.3253652058432932</v>
      </c>
      <c r="I218" t="str">
        <f t="shared" si="3"/>
        <v>Paralonchurus  elegansChinese Butterfish</v>
      </c>
    </row>
    <row r="219" spans="1:9" x14ac:dyDescent="0.35">
      <c r="A219" s="8">
        <v>12</v>
      </c>
      <c r="B219" s="8">
        <v>2016</v>
      </c>
      <c r="C219" s="8">
        <v>4</v>
      </c>
      <c r="D219" s="8" t="s">
        <v>173</v>
      </c>
      <c r="E219" s="8" t="s">
        <v>348</v>
      </c>
      <c r="F219" t="s">
        <v>49</v>
      </c>
      <c r="G219" t="s">
        <v>354</v>
      </c>
      <c r="H219" s="4">
        <v>5.3253652058432932</v>
      </c>
      <c r="I219" t="str">
        <f t="shared" si="3"/>
        <v>Polydactylus virginicusBeard fish</v>
      </c>
    </row>
    <row r="220" spans="1:9" x14ac:dyDescent="0.35">
      <c r="A220" s="8">
        <v>12</v>
      </c>
      <c r="B220" s="8">
        <v>2016</v>
      </c>
      <c r="C220" s="8">
        <v>4</v>
      </c>
      <c r="D220" s="8" t="s">
        <v>173</v>
      </c>
      <c r="E220" s="8" t="s">
        <v>348</v>
      </c>
      <c r="F220" t="s">
        <v>122</v>
      </c>
      <c r="G220" t="s">
        <v>53</v>
      </c>
      <c r="H220" s="4">
        <v>4.2602921646746355</v>
      </c>
      <c r="I220" t="str">
        <f t="shared" si="3"/>
        <v>Pellona harroweriRiver Pellona</v>
      </c>
    </row>
    <row r="221" spans="1:9" x14ac:dyDescent="0.35">
      <c r="A221" s="8">
        <v>12</v>
      </c>
      <c r="B221" s="8">
        <v>2016</v>
      </c>
      <c r="C221" s="8">
        <v>4</v>
      </c>
      <c r="D221" s="8" t="s">
        <v>173</v>
      </c>
      <c r="E221" s="8" t="s">
        <v>348</v>
      </c>
      <c r="F221" t="s">
        <v>283</v>
      </c>
      <c r="G221" t="s">
        <v>284</v>
      </c>
      <c r="H221" s="4">
        <v>5.3253652058432932</v>
      </c>
      <c r="I221" t="str">
        <f t="shared" si="3"/>
        <v>Paralonchurus braziliensisBanded croaker</v>
      </c>
    </row>
    <row r="222" spans="1:9" x14ac:dyDescent="0.35">
      <c r="A222" s="8">
        <v>12</v>
      </c>
      <c r="B222" s="8">
        <v>2016</v>
      </c>
      <c r="C222" s="8">
        <v>4</v>
      </c>
      <c r="D222" s="8" t="s">
        <v>173</v>
      </c>
      <c r="E222" s="8" t="s">
        <v>348</v>
      </c>
      <c r="F222" t="s">
        <v>50</v>
      </c>
      <c r="G222" t="s">
        <v>56</v>
      </c>
      <c r="H222" s="4">
        <v>26.360557768924302</v>
      </c>
      <c r="I222" t="str">
        <f t="shared" si="3"/>
        <v>Trichiurus lepturusSilverbelt</v>
      </c>
    </row>
    <row r="223" spans="1:9" x14ac:dyDescent="0.35">
      <c r="A223" s="8">
        <v>12</v>
      </c>
      <c r="B223" s="8">
        <v>2016</v>
      </c>
      <c r="C223" s="8">
        <v>4</v>
      </c>
      <c r="D223" s="8" t="s">
        <v>173</v>
      </c>
      <c r="E223" s="8" t="s">
        <v>348</v>
      </c>
      <c r="F223" t="s">
        <v>15</v>
      </c>
      <c r="G223" t="s">
        <v>16</v>
      </c>
      <c r="H223" s="4">
        <v>7.9880478087649402</v>
      </c>
      <c r="I223" t="str">
        <f t="shared" si="3"/>
        <v>Nebris micropsButterfish</v>
      </c>
    </row>
    <row r="224" spans="1:9" x14ac:dyDescent="0.35">
      <c r="A224" s="8">
        <v>12</v>
      </c>
      <c r="B224" s="8">
        <v>2016</v>
      </c>
      <c r="C224" s="8">
        <v>4</v>
      </c>
      <c r="D224" s="8" t="s">
        <v>173</v>
      </c>
      <c r="E224" s="8" t="s">
        <v>348</v>
      </c>
      <c r="F224" t="s">
        <v>350</v>
      </c>
      <c r="G224" t="s">
        <v>12</v>
      </c>
      <c r="H224" s="4">
        <v>2.6626826029216466</v>
      </c>
      <c r="I224" t="str">
        <f t="shared" si="3"/>
        <v>Batrachoides  surinamensisPacu</v>
      </c>
    </row>
    <row r="225" spans="1:9" x14ac:dyDescent="0.35">
      <c r="A225" s="8">
        <v>12</v>
      </c>
      <c r="B225" s="8">
        <v>2016</v>
      </c>
      <c r="C225" s="8">
        <v>4</v>
      </c>
      <c r="D225" s="8" t="s">
        <v>173</v>
      </c>
      <c r="E225" s="8" t="s">
        <v>348</v>
      </c>
      <c r="F225" t="s">
        <v>3</v>
      </c>
      <c r="G225" t="s">
        <v>32</v>
      </c>
      <c r="H225" s="4">
        <v>2.6626826029216466</v>
      </c>
      <c r="I225" t="str">
        <f t="shared" si="3"/>
        <v>Ophichtus gomesiShrimp Eel</v>
      </c>
    </row>
    <row r="226" spans="1:9" x14ac:dyDescent="0.35">
      <c r="A226" s="8">
        <v>13</v>
      </c>
      <c r="B226" s="8">
        <v>2016</v>
      </c>
      <c r="C226" s="8">
        <v>5</v>
      </c>
      <c r="D226" s="8" t="s">
        <v>173</v>
      </c>
      <c r="E226" s="8" t="s">
        <v>348</v>
      </c>
      <c r="F226" t="s">
        <v>1</v>
      </c>
      <c r="G226" t="s">
        <v>291</v>
      </c>
      <c r="H226" s="4">
        <v>30</v>
      </c>
      <c r="I226" t="str">
        <f t="shared" si="3"/>
        <v>Dastyis guttataLongnose stingray</v>
      </c>
    </row>
    <row r="227" spans="1:9" x14ac:dyDescent="0.35">
      <c r="A227" s="8">
        <v>13</v>
      </c>
      <c r="B227" s="8">
        <v>2016</v>
      </c>
      <c r="C227" s="8">
        <v>5</v>
      </c>
      <c r="D227" s="8" t="s">
        <v>173</v>
      </c>
      <c r="E227" s="8" t="s">
        <v>348</v>
      </c>
      <c r="F227" t="s">
        <v>2</v>
      </c>
      <c r="G227" t="s">
        <v>307</v>
      </c>
      <c r="H227" s="4">
        <v>20</v>
      </c>
      <c r="I227" t="str">
        <f t="shared" si="3"/>
        <v>Gymnura micruraButterfly stingray</v>
      </c>
    </row>
    <row r="228" spans="1:9" x14ac:dyDescent="0.35">
      <c r="A228" s="8">
        <v>13</v>
      </c>
      <c r="B228" s="8">
        <v>2016</v>
      </c>
      <c r="C228" s="8">
        <v>5</v>
      </c>
      <c r="D228" s="8" t="s">
        <v>173</v>
      </c>
      <c r="E228" s="8" t="s">
        <v>348</v>
      </c>
      <c r="F228" t="s">
        <v>54</v>
      </c>
      <c r="G228" t="s">
        <v>55</v>
      </c>
      <c r="H228" s="4">
        <v>30</v>
      </c>
      <c r="I228" t="str">
        <f t="shared" si="3"/>
        <v>Arius proopsCuirass</v>
      </c>
    </row>
    <row r="229" spans="1:9" x14ac:dyDescent="0.35">
      <c r="A229" s="8">
        <v>13</v>
      </c>
      <c r="B229" s="8">
        <v>2016</v>
      </c>
      <c r="C229" s="8">
        <v>5</v>
      </c>
      <c r="D229" s="8" t="s">
        <v>173</v>
      </c>
      <c r="E229" s="8" t="s">
        <v>348</v>
      </c>
      <c r="F229" t="s">
        <v>6</v>
      </c>
      <c r="G229" t="s">
        <v>37</v>
      </c>
      <c r="H229" s="4">
        <v>2.2026431718061675E-2</v>
      </c>
      <c r="I229" t="str">
        <f t="shared" si="3"/>
        <v>Symphurus plagusiaTongue fish</v>
      </c>
    </row>
    <row r="230" spans="1:9" x14ac:dyDescent="0.35">
      <c r="A230" s="8">
        <v>13</v>
      </c>
      <c r="B230" s="8">
        <v>2016</v>
      </c>
      <c r="C230" s="8">
        <v>5</v>
      </c>
      <c r="D230" s="8" t="s">
        <v>173</v>
      </c>
      <c r="E230" s="8" t="s">
        <v>348</v>
      </c>
      <c r="F230" t="s">
        <v>7</v>
      </c>
      <c r="G230" t="s">
        <v>8</v>
      </c>
      <c r="H230" s="4">
        <v>0.11013215859030837</v>
      </c>
      <c r="I230" t="str">
        <f t="shared" si="3"/>
        <v>Achirus achirusDrab Sole</v>
      </c>
    </row>
    <row r="231" spans="1:9" x14ac:dyDescent="0.35">
      <c r="A231" s="8">
        <v>13</v>
      </c>
      <c r="B231" s="8">
        <v>2016</v>
      </c>
      <c r="C231" s="8">
        <v>5</v>
      </c>
      <c r="D231" s="8" t="s">
        <v>173</v>
      </c>
      <c r="E231" s="8" t="s">
        <v>348</v>
      </c>
      <c r="F231" t="s">
        <v>43</v>
      </c>
      <c r="G231" t="s">
        <v>57</v>
      </c>
      <c r="H231" s="4">
        <v>4</v>
      </c>
      <c r="I231" t="str">
        <f t="shared" si="3"/>
        <v>Cynoscion virescensSeatrout</v>
      </c>
    </row>
    <row r="232" spans="1:9" x14ac:dyDescent="0.35">
      <c r="A232" s="8">
        <v>13</v>
      </c>
      <c r="B232" s="8">
        <v>2016</v>
      </c>
      <c r="C232" s="8">
        <v>5</v>
      </c>
      <c r="D232" s="8" t="s">
        <v>173</v>
      </c>
      <c r="E232" s="8" t="s">
        <v>348</v>
      </c>
      <c r="F232" t="s">
        <v>40</v>
      </c>
      <c r="G232" t="s">
        <v>35</v>
      </c>
      <c r="H232" s="4">
        <v>20</v>
      </c>
      <c r="I232" t="str">
        <f t="shared" si="3"/>
        <v>Macrodon ancylodonBangamary</v>
      </c>
    </row>
    <row r="233" spans="1:9" x14ac:dyDescent="0.35">
      <c r="A233" s="8">
        <v>13</v>
      </c>
      <c r="B233" s="8">
        <v>2016</v>
      </c>
      <c r="C233" s="8">
        <v>5</v>
      </c>
      <c r="D233" s="8" t="s">
        <v>173</v>
      </c>
      <c r="E233" s="8" t="s">
        <v>348</v>
      </c>
      <c r="F233" t="s">
        <v>39</v>
      </c>
      <c r="G233" t="s">
        <v>38</v>
      </c>
      <c r="H233" s="4">
        <v>3</v>
      </c>
      <c r="I233" t="str">
        <f t="shared" si="3"/>
        <v>Colomesus psittacusBanded Puffer</v>
      </c>
    </row>
    <row r="234" spans="1:9" x14ac:dyDescent="0.35">
      <c r="A234" s="8">
        <v>13</v>
      </c>
      <c r="B234" s="8">
        <v>2016</v>
      </c>
      <c r="C234" s="8">
        <v>5</v>
      </c>
      <c r="D234" s="8" t="s">
        <v>173</v>
      </c>
      <c r="E234" s="8" t="s">
        <v>348</v>
      </c>
      <c r="F234" t="s">
        <v>111</v>
      </c>
      <c r="G234" t="s">
        <v>109</v>
      </c>
      <c r="H234" s="4">
        <v>10</v>
      </c>
      <c r="I234" t="str">
        <f t="shared" si="3"/>
        <v>Micropogonias furnieriBashaw</v>
      </c>
    </row>
    <row r="235" spans="1:9" x14ac:dyDescent="0.35">
      <c r="A235" s="8">
        <v>13</v>
      </c>
      <c r="B235" s="8">
        <v>2016</v>
      </c>
      <c r="C235" s="8">
        <v>5</v>
      </c>
      <c r="D235" s="8" t="s">
        <v>173</v>
      </c>
      <c r="E235" s="8" t="s">
        <v>348</v>
      </c>
      <c r="F235" t="s">
        <v>21</v>
      </c>
      <c r="G235" t="s">
        <v>59</v>
      </c>
      <c r="H235" s="4">
        <v>2</v>
      </c>
      <c r="I235" t="str">
        <f t="shared" si="3"/>
        <v>Stellifer micropsRockhead</v>
      </c>
    </row>
    <row r="236" spans="1:9" x14ac:dyDescent="0.35">
      <c r="A236" s="8">
        <v>13</v>
      </c>
      <c r="B236" s="8">
        <v>2016</v>
      </c>
      <c r="C236" s="8">
        <v>5</v>
      </c>
      <c r="D236" s="8" t="s">
        <v>173</v>
      </c>
      <c r="E236" s="8" t="s">
        <v>348</v>
      </c>
      <c r="F236" t="s">
        <v>45</v>
      </c>
      <c r="G236" t="s">
        <v>46</v>
      </c>
      <c r="H236" s="4">
        <v>0.25</v>
      </c>
      <c r="I236" t="str">
        <f t="shared" si="3"/>
        <v>Conodon nobilisGrunt</v>
      </c>
    </row>
    <row r="237" spans="1:9" x14ac:dyDescent="0.35">
      <c r="A237" s="8">
        <v>13</v>
      </c>
      <c r="B237" s="8">
        <v>2016</v>
      </c>
      <c r="C237" s="8">
        <v>5</v>
      </c>
      <c r="D237" s="8" t="s">
        <v>173</v>
      </c>
      <c r="E237" s="8" t="s">
        <v>348</v>
      </c>
      <c r="F237" t="s">
        <v>63</v>
      </c>
      <c r="G237" t="s">
        <v>62</v>
      </c>
      <c r="H237" s="4">
        <v>8</v>
      </c>
      <c r="I237" t="str">
        <f t="shared" si="3"/>
        <v>Selene browniMoonfish</v>
      </c>
    </row>
    <row r="238" spans="1:9" x14ac:dyDescent="0.35">
      <c r="A238" s="8">
        <v>13</v>
      </c>
      <c r="B238" s="8">
        <v>2016</v>
      </c>
      <c r="C238" s="8">
        <v>5</v>
      </c>
      <c r="D238" s="8" t="s">
        <v>173</v>
      </c>
      <c r="E238" s="8" t="s">
        <v>348</v>
      </c>
      <c r="F238" t="s">
        <v>41</v>
      </c>
      <c r="G238" t="s">
        <v>10</v>
      </c>
      <c r="H238" s="4">
        <v>0.02</v>
      </c>
      <c r="I238" t="str">
        <f t="shared" si="3"/>
        <v>Chaetodipterus faberSea Donkey</v>
      </c>
    </row>
    <row r="239" spans="1:9" x14ac:dyDescent="0.35">
      <c r="A239" s="8">
        <v>13</v>
      </c>
      <c r="B239" s="8">
        <v>2016</v>
      </c>
      <c r="C239" s="8">
        <v>5</v>
      </c>
      <c r="D239" s="8" t="s">
        <v>173</v>
      </c>
      <c r="E239" s="8" t="s">
        <v>348</v>
      </c>
      <c r="F239" t="s">
        <v>22</v>
      </c>
      <c r="G239" t="s">
        <v>123</v>
      </c>
      <c r="H239" s="4">
        <v>10</v>
      </c>
      <c r="I239" t="str">
        <f t="shared" si="3"/>
        <v>Menticirrhus americanusSouthern Kingcroaker</v>
      </c>
    </row>
    <row r="240" spans="1:9" x14ac:dyDescent="0.35">
      <c r="A240" s="8">
        <v>13</v>
      </c>
      <c r="B240" s="8">
        <v>2016</v>
      </c>
      <c r="C240" s="8">
        <v>5</v>
      </c>
      <c r="D240" s="8" t="s">
        <v>173</v>
      </c>
      <c r="E240" s="8" t="s">
        <v>348</v>
      </c>
      <c r="F240" t="s">
        <v>13</v>
      </c>
      <c r="G240" t="s">
        <v>14</v>
      </c>
      <c r="H240" s="4">
        <v>0.22026431718061673</v>
      </c>
      <c r="I240" t="str">
        <f t="shared" si="3"/>
        <v>Harengula jaguanaHerring</v>
      </c>
    </row>
    <row r="241" spans="1:9" x14ac:dyDescent="0.35">
      <c r="A241" s="8">
        <v>13</v>
      </c>
      <c r="B241" s="8">
        <v>2016</v>
      </c>
      <c r="C241" s="8">
        <v>5</v>
      </c>
      <c r="D241" s="8" t="s">
        <v>173</v>
      </c>
      <c r="E241" s="8" t="s">
        <v>348</v>
      </c>
      <c r="F241" t="s">
        <v>283</v>
      </c>
      <c r="G241" t="s">
        <v>284</v>
      </c>
      <c r="H241" s="4">
        <v>3</v>
      </c>
      <c r="I241" t="str">
        <f t="shared" si="3"/>
        <v>Paralonchurus braziliensisBanded croaker</v>
      </c>
    </row>
    <row r="242" spans="1:9" x14ac:dyDescent="0.35">
      <c r="A242" s="8">
        <v>13</v>
      </c>
      <c r="B242" s="8">
        <v>2016</v>
      </c>
      <c r="C242" s="8">
        <v>5</v>
      </c>
      <c r="D242" s="8" t="s">
        <v>173</v>
      </c>
      <c r="E242" s="8" t="s">
        <v>348</v>
      </c>
      <c r="F242" t="s">
        <v>121</v>
      </c>
      <c r="G242" t="s">
        <v>44</v>
      </c>
      <c r="H242" s="4">
        <v>5</v>
      </c>
      <c r="I242" t="str">
        <f t="shared" si="3"/>
        <v>Anchoa mitchilliNegli</v>
      </c>
    </row>
    <row r="243" spans="1:9" x14ac:dyDescent="0.35">
      <c r="A243" s="8">
        <v>13</v>
      </c>
      <c r="B243" s="8">
        <v>2016</v>
      </c>
      <c r="C243" s="8">
        <v>5</v>
      </c>
      <c r="D243" s="8" t="s">
        <v>173</v>
      </c>
      <c r="E243" s="8" t="s">
        <v>348</v>
      </c>
      <c r="F243" t="s">
        <v>116</v>
      </c>
      <c r="G243" t="s">
        <v>115</v>
      </c>
      <c r="H243" s="4">
        <v>7</v>
      </c>
      <c r="I243" t="str">
        <f t="shared" si="3"/>
        <v>Anchoa spiniferSpecule Anchovy</v>
      </c>
    </row>
    <row r="244" spans="1:9" x14ac:dyDescent="0.35">
      <c r="A244" s="8">
        <v>13</v>
      </c>
      <c r="B244" s="8">
        <v>2016</v>
      </c>
      <c r="C244" s="8">
        <v>5</v>
      </c>
      <c r="D244" s="8" t="s">
        <v>173</v>
      </c>
      <c r="E244" s="8" t="s">
        <v>348</v>
      </c>
      <c r="F244" t="s">
        <v>17</v>
      </c>
      <c r="G244" t="s">
        <v>34</v>
      </c>
      <c r="H244" s="4">
        <v>10</v>
      </c>
      <c r="I244" t="str">
        <f t="shared" si="3"/>
        <v>Larimus brevicepsSilver Snapper</v>
      </c>
    </row>
    <row r="245" spans="1:9" x14ac:dyDescent="0.35">
      <c r="A245" s="8">
        <v>13</v>
      </c>
      <c r="B245" s="8">
        <v>2016</v>
      </c>
      <c r="C245" s="8">
        <v>5</v>
      </c>
      <c r="D245" s="8" t="s">
        <v>173</v>
      </c>
      <c r="E245" s="8" t="s">
        <v>348</v>
      </c>
      <c r="F245" t="s">
        <v>15</v>
      </c>
      <c r="G245" t="s">
        <v>16</v>
      </c>
      <c r="H245" s="4">
        <v>1</v>
      </c>
      <c r="I245" t="str">
        <f t="shared" si="3"/>
        <v>Nebris micropsButterfish</v>
      </c>
    </row>
    <row r="246" spans="1:9" x14ac:dyDescent="0.35">
      <c r="A246" s="8">
        <v>13</v>
      </c>
      <c r="B246" s="8">
        <v>2016</v>
      </c>
      <c r="C246" s="8">
        <v>5</v>
      </c>
      <c r="D246" s="8" t="s">
        <v>173</v>
      </c>
      <c r="E246" s="8" t="s">
        <v>348</v>
      </c>
      <c r="F246" t="s">
        <v>50</v>
      </c>
      <c r="G246" t="s">
        <v>56</v>
      </c>
      <c r="H246" s="4">
        <v>20</v>
      </c>
      <c r="I246" t="str">
        <f t="shared" si="3"/>
        <v>Trichiurus lepturusSilverbelt</v>
      </c>
    </row>
    <row r="247" spans="1:9" x14ac:dyDescent="0.35">
      <c r="A247" s="8">
        <v>13</v>
      </c>
      <c r="B247" s="8">
        <v>2016</v>
      </c>
      <c r="C247" s="8">
        <v>5</v>
      </c>
      <c r="D247" s="8" t="s">
        <v>173</v>
      </c>
      <c r="E247" s="8" t="s">
        <v>348</v>
      </c>
      <c r="F247" t="s">
        <v>350</v>
      </c>
      <c r="G247" t="s">
        <v>12</v>
      </c>
      <c r="H247" s="4">
        <v>0.3524229074889868</v>
      </c>
      <c r="I247" t="str">
        <f t="shared" si="3"/>
        <v>Batrachoides  surinamensisPacu</v>
      </c>
    </row>
    <row r="248" spans="1:9" x14ac:dyDescent="0.35">
      <c r="A248" s="8">
        <v>13</v>
      </c>
      <c r="B248" s="8">
        <v>2016</v>
      </c>
      <c r="C248" s="8">
        <v>5</v>
      </c>
      <c r="D248" s="8" t="s">
        <v>173</v>
      </c>
      <c r="E248" s="8" t="s">
        <v>348</v>
      </c>
      <c r="F248" t="s">
        <v>124</v>
      </c>
      <c r="G248" t="s">
        <v>110</v>
      </c>
      <c r="H248" s="4">
        <v>7</v>
      </c>
      <c r="I248" t="str">
        <f t="shared" si="3"/>
        <v>SphyrindaeHammer Head Shrak</v>
      </c>
    </row>
    <row r="249" spans="1:9" x14ac:dyDescent="0.35">
      <c r="A249" s="8">
        <v>13</v>
      </c>
      <c r="B249" s="8">
        <v>2016</v>
      </c>
      <c r="C249" s="8">
        <v>5</v>
      </c>
      <c r="D249" s="8" t="s">
        <v>173</v>
      </c>
      <c r="E249" s="8" t="s">
        <v>348</v>
      </c>
      <c r="F249" t="s">
        <v>3</v>
      </c>
      <c r="G249" t="s">
        <v>32</v>
      </c>
      <c r="H249" s="4">
        <v>5</v>
      </c>
      <c r="I249" t="str">
        <f t="shared" si="3"/>
        <v>Ophichtus gomesiShrimp Eel</v>
      </c>
    </row>
    <row r="250" spans="1:9" x14ac:dyDescent="0.35">
      <c r="A250" s="8">
        <v>14</v>
      </c>
      <c r="B250" s="8">
        <v>2016</v>
      </c>
      <c r="C250" s="8">
        <v>6</v>
      </c>
      <c r="D250" s="8" t="s">
        <v>176</v>
      </c>
      <c r="E250" s="8" t="s">
        <v>348</v>
      </c>
      <c r="F250" t="s">
        <v>5</v>
      </c>
      <c r="G250" t="s">
        <v>4</v>
      </c>
      <c r="H250" s="4">
        <v>0.19</v>
      </c>
      <c r="I250" t="str">
        <f t="shared" si="3"/>
        <v>Bagre bagreCatfish</v>
      </c>
    </row>
    <row r="251" spans="1:9" x14ac:dyDescent="0.35">
      <c r="A251" s="8">
        <v>14</v>
      </c>
      <c r="B251" s="8">
        <v>2016</v>
      </c>
      <c r="C251" s="8">
        <v>6</v>
      </c>
      <c r="D251" s="8" t="s">
        <v>176</v>
      </c>
      <c r="E251" s="8" t="s">
        <v>348</v>
      </c>
      <c r="F251" t="s">
        <v>2</v>
      </c>
      <c r="G251" t="s">
        <v>307</v>
      </c>
      <c r="H251" s="4">
        <v>1.54</v>
      </c>
      <c r="I251" t="str">
        <f t="shared" si="3"/>
        <v>Gymnura micruraButterfly stingray</v>
      </c>
    </row>
    <row r="252" spans="1:9" x14ac:dyDescent="0.35">
      <c r="A252" s="8">
        <v>14</v>
      </c>
      <c r="B252" s="8">
        <v>2016</v>
      </c>
      <c r="C252" s="8">
        <v>6</v>
      </c>
      <c r="D252" s="8" t="s">
        <v>176</v>
      </c>
      <c r="E252" s="8" t="s">
        <v>348</v>
      </c>
      <c r="F252" t="s">
        <v>40</v>
      </c>
      <c r="G252" t="s">
        <v>35</v>
      </c>
      <c r="H252" s="4">
        <v>35.94</v>
      </c>
      <c r="I252" t="str">
        <f t="shared" si="3"/>
        <v>Macrodon ancylodonBangamary</v>
      </c>
    </row>
    <row r="253" spans="1:9" x14ac:dyDescent="0.35">
      <c r="A253" s="8">
        <v>14</v>
      </c>
      <c r="B253" s="8">
        <v>2016</v>
      </c>
      <c r="C253" s="8">
        <v>6</v>
      </c>
      <c r="D253" s="8" t="s">
        <v>176</v>
      </c>
      <c r="E253" s="8" t="s">
        <v>348</v>
      </c>
      <c r="F253" t="s">
        <v>39</v>
      </c>
      <c r="G253" t="s">
        <v>38</v>
      </c>
      <c r="H253" s="4">
        <v>0.43</v>
      </c>
      <c r="I253" t="str">
        <f t="shared" si="3"/>
        <v>Colomesus psittacusBanded Puffer</v>
      </c>
    </row>
    <row r="254" spans="1:9" x14ac:dyDescent="0.35">
      <c r="A254" s="8">
        <v>14</v>
      </c>
      <c r="B254" s="8">
        <v>2016</v>
      </c>
      <c r="C254" s="8">
        <v>6</v>
      </c>
      <c r="D254" s="8" t="s">
        <v>176</v>
      </c>
      <c r="E254" s="8" t="s">
        <v>348</v>
      </c>
      <c r="F254" t="s">
        <v>21</v>
      </c>
      <c r="G254" t="s">
        <v>59</v>
      </c>
      <c r="H254" s="4">
        <v>48.06</v>
      </c>
      <c r="I254" t="str">
        <f t="shared" si="3"/>
        <v>Stellifer micropsRockhead</v>
      </c>
    </row>
    <row r="255" spans="1:9" x14ac:dyDescent="0.35">
      <c r="A255" s="8">
        <v>14</v>
      </c>
      <c r="B255" s="8">
        <v>2016</v>
      </c>
      <c r="C255" s="8">
        <v>6</v>
      </c>
      <c r="D255" s="8" t="s">
        <v>176</v>
      </c>
      <c r="E255" s="8" t="s">
        <v>348</v>
      </c>
      <c r="F255" t="s">
        <v>41</v>
      </c>
      <c r="G255" t="s">
        <v>10</v>
      </c>
      <c r="H255" s="4">
        <v>0.12</v>
      </c>
      <c r="I255" t="str">
        <f t="shared" si="3"/>
        <v>Chaetodipterus faberSea Donkey</v>
      </c>
    </row>
    <row r="256" spans="1:9" x14ac:dyDescent="0.35">
      <c r="A256" s="8">
        <v>14</v>
      </c>
      <c r="B256" s="8">
        <v>2016</v>
      </c>
      <c r="C256" s="8">
        <v>6</v>
      </c>
      <c r="D256" s="8" t="s">
        <v>176</v>
      </c>
      <c r="E256" s="8" t="s">
        <v>348</v>
      </c>
      <c r="F256" t="s">
        <v>283</v>
      </c>
      <c r="G256" t="s">
        <v>284</v>
      </c>
      <c r="H256" s="4">
        <v>4.84</v>
      </c>
      <c r="I256" t="str">
        <f t="shared" si="3"/>
        <v>Paralonchurus braziliensisBanded croaker</v>
      </c>
    </row>
    <row r="257" spans="1:9" x14ac:dyDescent="0.35">
      <c r="A257" s="8">
        <v>14</v>
      </c>
      <c r="B257" s="8">
        <v>2016</v>
      </c>
      <c r="C257" s="8">
        <v>6</v>
      </c>
      <c r="D257" s="8" t="s">
        <v>176</v>
      </c>
      <c r="E257" s="8" t="s">
        <v>348</v>
      </c>
      <c r="F257" t="s">
        <v>121</v>
      </c>
      <c r="G257" t="s">
        <v>44</v>
      </c>
      <c r="H257" s="4">
        <v>2.64</v>
      </c>
      <c r="I257" t="str">
        <f t="shared" si="3"/>
        <v>Anchoa mitchilliNegli</v>
      </c>
    </row>
    <row r="258" spans="1:9" x14ac:dyDescent="0.35">
      <c r="A258" s="8">
        <v>14</v>
      </c>
      <c r="B258" s="8">
        <v>2016</v>
      </c>
      <c r="C258" s="8">
        <v>6</v>
      </c>
      <c r="D258" s="8" t="s">
        <v>176</v>
      </c>
      <c r="E258" s="8" t="s">
        <v>348</v>
      </c>
      <c r="F258" t="s">
        <v>17</v>
      </c>
      <c r="G258" t="s">
        <v>34</v>
      </c>
      <c r="H258" s="4">
        <v>14.55</v>
      </c>
      <c r="I258" t="str">
        <f t="shared" si="3"/>
        <v>Larimus brevicepsSilver Snapper</v>
      </c>
    </row>
    <row r="259" spans="1:9" x14ac:dyDescent="0.35">
      <c r="A259" s="8">
        <v>14</v>
      </c>
      <c r="B259" s="8">
        <v>2016</v>
      </c>
      <c r="C259" s="8">
        <v>6</v>
      </c>
      <c r="D259" s="8" t="s">
        <v>176</v>
      </c>
      <c r="E259" s="8" t="s">
        <v>348</v>
      </c>
      <c r="F259" t="s">
        <v>50</v>
      </c>
      <c r="G259" t="s">
        <v>56</v>
      </c>
      <c r="H259" s="4">
        <v>26.9</v>
      </c>
      <c r="I259" t="str">
        <f t="shared" ref="I259:I322" si="4">CONCATENATE(F259,G259)</f>
        <v>Trichiurus lepturusSilverbelt</v>
      </c>
    </row>
    <row r="260" spans="1:9" x14ac:dyDescent="0.35">
      <c r="A260" s="8">
        <v>14</v>
      </c>
      <c r="B260" s="8">
        <v>2016</v>
      </c>
      <c r="C260" s="8">
        <v>6</v>
      </c>
      <c r="D260" s="8" t="s">
        <v>176</v>
      </c>
      <c r="E260" s="8" t="s">
        <v>348</v>
      </c>
      <c r="F260" t="s">
        <v>43</v>
      </c>
      <c r="G260" t="s">
        <v>57</v>
      </c>
      <c r="H260" s="4">
        <v>0.3</v>
      </c>
      <c r="I260" t="str">
        <f t="shared" si="4"/>
        <v>Cynoscion virescensSeatrout</v>
      </c>
    </row>
    <row r="261" spans="1:9" x14ac:dyDescent="0.35">
      <c r="A261" s="8">
        <v>14</v>
      </c>
      <c r="B261" s="8">
        <v>2016</v>
      </c>
      <c r="C261" s="8">
        <v>6</v>
      </c>
      <c r="D261" s="8" t="s">
        <v>176</v>
      </c>
      <c r="E261" s="8" t="s">
        <v>348</v>
      </c>
      <c r="F261" t="s">
        <v>122</v>
      </c>
      <c r="G261" t="s">
        <v>53</v>
      </c>
      <c r="H261" s="4">
        <v>3.74</v>
      </c>
      <c r="I261" t="str">
        <f t="shared" si="4"/>
        <v>Pellona harroweriRiver Pellona</v>
      </c>
    </row>
    <row r="262" spans="1:9" x14ac:dyDescent="0.35">
      <c r="A262" s="8">
        <v>15</v>
      </c>
      <c r="B262" s="8">
        <v>2016</v>
      </c>
      <c r="C262" s="8">
        <v>8</v>
      </c>
      <c r="D262" s="8" t="s">
        <v>173</v>
      </c>
      <c r="E262" s="8" t="s">
        <v>348</v>
      </c>
      <c r="F262" t="s">
        <v>5</v>
      </c>
      <c r="G262" t="s">
        <v>4</v>
      </c>
      <c r="H262" s="4">
        <v>0.87885462555066074</v>
      </c>
      <c r="I262" t="str">
        <f t="shared" si="4"/>
        <v>Bagre bagreCatfish</v>
      </c>
    </row>
    <row r="263" spans="1:9" x14ac:dyDescent="0.35">
      <c r="A263" s="8">
        <v>15</v>
      </c>
      <c r="B263" s="8">
        <v>2016</v>
      </c>
      <c r="C263" s="8">
        <v>8</v>
      </c>
      <c r="D263" s="8" t="s">
        <v>173</v>
      </c>
      <c r="E263" s="8" t="s">
        <v>348</v>
      </c>
      <c r="F263" t="s">
        <v>54</v>
      </c>
      <c r="G263" t="s">
        <v>55</v>
      </c>
      <c r="H263" s="4">
        <v>1.5132158590308371</v>
      </c>
      <c r="I263" t="str">
        <f t="shared" si="4"/>
        <v>Arius proopsCuirass</v>
      </c>
    </row>
    <row r="264" spans="1:9" x14ac:dyDescent="0.35">
      <c r="A264" s="8">
        <v>15</v>
      </c>
      <c r="B264" s="8">
        <v>2016</v>
      </c>
      <c r="C264" s="8">
        <v>8</v>
      </c>
      <c r="D264" s="8" t="s">
        <v>173</v>
      </c>
      <c r="E264" s="8" t="s">
        <v>348</v>
      </c>
      <c r="F264" t="s">
        <v>2</v>
      </c>
      <c r="G264" t="s">
        <v>307</v>
      </c>
      <c r="H264" s="4">
        <v>0.13656387665198239</v>
      </c>
      <c r="I264" t="str">
        <f t="shared" si="4"/>
        <v>Gymnura micruraButterfly stingray</v>
      </c>
    </row>
    <row r="265" spans="1:9" x14ac:dyDescent="0.35">
      <c r="A265" s="8">
        <v>15</v>
      </c>
      <c r="B265" s="8">
        <v>2016</v>
      </c>
      <c r="C265" s="8">
        <v>8</v>
      </c>
      <c r="D265" s="8" t="s">
        <v>173</v>
      </c>
      <c r="E265" s="8" t="s">
        <v>348</v>
      </c>
      <c r="F265" t="s">
        <v>1</v>
      </c>
      <c r="G265" t="s">
        <v>291</v>
      </c>
      <c r="H265" s="4">
        <v>0.73348017621145378</v>
      </c>
      <c r="I265" t="str">
        <f t="shared" si="4"/>
        <v>Dastyis guttataLongnose stingray</v>
      </c>
    </row>
    <row r="266" spans="1:9" x14ac:dyDescent="0.35">
      <c r="A266" s="8">
        <v>15</v>
      </c>
      <c r="B266" s="8">
        <v>2016</v>
      </c>
      <c r="C266" s="8">
        <v>8</v>
      </c>
      <c r="D266" s="8" t="s">
        <v>173</v>
      </c>
      <c r="E266" s="8" t="s">
        <v>348</v>
      </c>
      <c r="F266" t="s">
        <v>6</v>
      </c>
      <c r="G266" t="s">
        <v>37</v>
      </c>
      <c r="H266" s="4">
        <v>3.0837004405286344E-2</v>
      </c>
      <c r="I266" t="str">
        <f t="shared" si="4"/>
        <v>Symphurus plagusiaTongue fish</v>
      </c>
    </row>
    <row r="267" spans="1:9" x14ac:dyDescent="0.35">
      <c r="A267" s="8">
        <v>15</v>
      </c>
      <c r="B267" s="8">
        <v>2016</v>
      </c>
      <c r="C267" s="8">
        <v>8</v>
      </c>
      <c r="D267" s="8" t="s">
        <v>173</v>
      </c>
      <c r="E267" s="8" t="s">
        <v>348</v>
      </c>
      <c r="F267" t="s">
        <v>40</v>
      </c>
      <c r="G267" t="s">
        <v>35</v>
      </c>
      <c r="H267" s="4">
        <v>28.6</v>
      </c>
      <c r="I267" t="str">
        <f t="shared" si="4"/>
        <v>Macrodon ancylodonBangamary</v>
      </c>
    </row>
    <row r="268" spans="1:9" x14ac:dyDescent="0.35">
      <c r="A268" s="8">
        <v>15</v>
      </c>
      <c r="B268" s="8">
        <v>2016</v>
      </c>
      <c r="C268" s="8">
        <v>8</v>
      </c>
      <c r="D268" s="8" t="s">
        <v>173</v>
      </c>
      <c r="E268" s="8" t="s">
        <v>348</v>
      </c>
      <c r="F268" t="s">
        <v>39</v>
      </c>
      <c r="G268" t="s">
        <v>38</v>
      </c>
      <c r="H268" s="4">
        <v>1.6299559471365639E-2</v>
      </c>
      <c r="I268" t="str">
        <f t="shared" si="4"/>
        <v>Colomesus psittacusBanded Puffer</v>
      </c>
    </row>
    <row r="269" spans="1:9" x14ac:dyDescent="0.35">
      <c r="A269" s="8">
        <v>15</v>
      </c>
      <c r="B269" s="8">
        <v>2016</v>
      </c>
      <c r="C269" s="8">
        <v>8</v>
      </c>
      <c r="D269" s="8" t="s">
        <v>173</v>
      </c>
      <c r="E269" s="8" t="s">
        <v>348</v>
      </c>
      <c r="F269" t="s">
        <v>21</v>
      </c>
      <c r="G269" t="s">
        <v>59</v>
      </c>
      <c r="H269" s="4">
        <v>15.400000000000002</v>
      </c>
      <c r="I269" t="str">
        <f t="shared" si="4"/>
        <v>Stellifer micropsRockhead</v>
      </c>
    </row>
    <row r="270" spans="1:9" x14ac:dyDescent="0.35">
      <c r="A270" s="8">
        <v>15</v>
      </c>
      <c r="B270" s="8">
        <v>2016</v>
      </c>
      <c r="C270" s="8">
        <v>8</v>
      </c>
      <c r="D270" s="8" t="s">
        <v>173</v>
      </c>
      <c r="E270" s="8" t="s">
        <v>348</v>
      </c>
      <c r="F270" t="s">
        <v>63</v>
      </c>
      <c r="G270" t="s">
        <v>62</v>
      </c>
      <c r="H270" s="4">
        <v>2.2000000000000002</v>
      </c>
      <c r="I270" t="str">
        <f t="shared" si="4"/>
        <v>Selene browniMoonfish</v>
      </c>
    </row>
    <row r="271" spans="1:9" x14ac:dyDescent="0.35">
      <c r="A271" s="8">
        <v>15</v>
      </c>
      <c r="B271" s="8">
        <v>2016</v>
      </c>
      <c r="C271" s="8">
        <v>8</v>
      </c>
      <c r="D271" s="8" t="s">
        <v>173</v>
      </c>
      <c r="E271" s="8" t="s">
        <v>348</v>
      </c>
      <c r="F271" t="s">
        <v>41</v>
      </c>
      <c r="G271" t="s">
        <v>10</v>
      </c>
      <c r="H271" s="4">
        <v>0.71365638766519823</v>
      </c>
      <c r="I271" t="str">
        <f t="shared" si="4"/>
        <v>Chaetodipterus faberSea Donkey</v>
      </c>
    </row>
    <row r="272" spans="1:9" x14ac:dyDescent="0.35">
      <c r="A272" s="8">
        <v>15</v>
      </c>
      <c r="B272" s="8">
        <v>2016</v>
      </c>
      <c r="C272" s="8">
        <v>8</v>
      </c>
      <c r="D272" s="8" t="s">
        <v>173</v>
      </c>
      <c r="E272" s="8" t="s">
        <v>348</v>
      </c>
      <c r="F272" t="s">
        <v>118</v>
      </c>
      <c r="G272" t="s">
        <v>113</v>
      </c>
      <c r="H272" s="4">
        <v>4.3370044052863435</v>
      </c>
      <c r="I272" t="str">
        <f t="shared" si="4"/>
        <v>Carank hipposCavalli</v>
      </c>
    </row>
    <row r="273" spans="1:9" x14ac:dyDescent="0.35">
      <c r="A273" s="8">
        <v>15</v>
      </c>
      <c r="B273" s="8">
        <v>2016</v>
      </c>
      <c r="C273" s="8">
        <v>8</v>
      </c>
      <c r="D273" s="8" t="s">
        <v>173</v>
      </c>
      <c r="E273" s="8" t="s">
        <v>348</v>
      </c>
      <c r="F273" t="s">
        <v>121</v>
      </c>
      <c r="G273" t="s">
        <v>44</v>
      </c>
      <c r="H273" s="4">
        <v>11</v>
      </c>
      <c r="I273" t="str">
        <f t="shared" si="4"/>
        <v>Anchoa mitchilliNegli</v>
      </c>
    </row>
    <row r="274" spans="1:9" x14ac:dyDescent="0.35">
      <c r="A274" s="8">
        <v>15</v>
      </c>
      <c r="B274" s="8">
        <v>2016</v>
      </c>
      <c r="C274" s="8">
        <v>8</v>
      </c>
      <c r="D274" s="8" t="s">
        <v>173</v>
      </c>
      <c r="E274" s="8" t="s">
        <v>348</v>
      </c>
      <c r="F274" t="s">
        <v>116</v>
      </c>
      <c r="G274" t="s">
        <v>115</v>
      </c>
      <c r="H274" s="4">
        <v>1.3722466960352422</v>
      </c>
      <c r="I274" t="str">
        <f t="shared" si="4"/>
        <v>Anchoa spiniferSpecule Anchovy</v>
      </c>
    </row>
    <row r="275" spans="1:9" x14ac:dyDescent="0.35">
      <c r="A275" s="8">
        <v>15</v>
      </c>
      <c r="B275" s="8">
        <v>2016</v>
      </c>
      <c r="C275" s="8">
        <v>8</v>
      </c>
      <c r="D275" s="8" t="s">
        <v>173</v>
      </c>
      <c r="E275" s="8" t="s">
        <v>348</v>
      </c>
      <c r="F275" t="s">
        <v>17</v>
      </c>
      <c r="G275" t="s">
        <v>34</v>
      </c>
      <c r="H275" s="4">
        <v>1.7334801762114538</v>
      </c>
      <c r="I275" t="str">
        <f t="shared" si="4"/>
        <v>Larimus brevicepsSilver Snapper</v>
      </c>
    </row>
    <row r="276" spans="1:9" x14ac:dyDescent="0.35">
      <c r="A276" s="8">
        <v>15</v>
      </c>
      <c r="B276" s="8">
        <v>2016</v>
      </c>
      <c r="C276" s="8">
        <v>8</v>
      </c>
      <c r="D276" s="8" t="s">
        <v>173</v>
      </c>
      <c r="E276" s="8" t="s">
        <v>348</v>
      </c>
      <c r="F276" t="s">
        <v>43</v>
      </c>
      <c r="G276" t="s">
        <v>57</v>
      </c>
      <c r="H276" s="4">
        <v>0.60572687224669608</v>
      </c>
      <c r="I276" t="str">
        <f t="shared" si="4"/>
        <v>Cynoscion virescensSeatrout</v>
      </c>
    </row>
    <row r="277" spans="1:9" x14ac:dyDescent="0.35">
      <c r="A277" s="8">
        <v>15</v>
      </c>
      <c r="B277" s="8">
        <v>2016</v>
      </c>
      <c r="C277" s="8">
        <v>8</v>
      </c>
      <c r="D277" s="8" t="s">
        <v>173</v>
      </c>
      <c r="E277" s="8" t="s">
        <v>348</v>
      </c>
      <c r="F277" t="s">
        <v>50</v>
      </c>
      <c r="G277" t="s">
        <v>56</v>
      </c>
      <c r="H277" s="4">
        <v>15.400000000000002</v>
      </c>
      <c r="I277" t="str">
        <f t="shared" si="4"/>
        <v>Trichiurus lepturusSilverbelt</v>
      </c>
    </row>
    <row r="278" spans="1:9" x14ac:dyDescent="0.35">
      <c r="A278" s="8">
        <v>15</v>
      </c>
      <c r="B278" s="8">
        <v>2016</v>
      </c>
      <c r="C278" s="8">
        <v>8</v>
      </c>
      <c r="D278" s="8" t="s">
        <v>173</v>
      </c>
      <c r="E278" s="8" t="s">
        <v>348</v>
      </c>
      <c r="F278" t="s">
        <v>111</v>
      </c>
      <c r="G278" t="s">
        <v>109</v>
      </c>
      <c r="H278" s="4">
        <v>0.84361233480176212</v>
      </c>
      <c r="I278" t="str">
        <f t="shared" si="4"/>
        <v>Micropogonias furnieriBashaw</v>
      </c>
    </row>
    <row r="279" spans="1:9" x14ac:dyDescent="0.35">
      <c r="A279" s="8">
        <v>15</v>
      </c>
      <c r="B279" s="8">
        <v>2016</v>
      </c>
      <c r="C279" s="8">
        <v>8</v>
      </c>
      <c r="D279" s="8" t="s">
        <v>173</v>
      </c>
      <c r="E279" s="8" t="s">
        <v>348</v>
      </c>
      <c r="F279" t="s">
        <v>122</v>
      </c>
      <c r="G279" t="s">
        <v>53</v>
      </c>
      <c r="H279" s="4">
        <v>28.6</v>
      </c>
      <c r="I279" t="str">
        <f t="shared" si="4"/>
        <v>Pellona harroweriRiver Pellona</v>
      </c>
    </row>
    <row r="280" spans="1:9" x14ac:dyDescent="0.35">
      <c r="A280" s="8">
        <v>16</v>
      </c>
      <c r="B280" s="8">
        <v>2016</v>
      </c>
      <c r="C280" s="8">
        <v>9</v>
      </c>
      <c r="D280" s="8" t="s">
        <v>173</v>
      </c>
      <c r="E280" s="8" t="s">
        <v>348</v>
      </c>
      <c r="F280" t="s">
        <v>5</v>
      </c>
      <c r="G280" t="s">
        <v>4</v>
      </c>
      <c r="H280" s="4">
        <v>0.5</v>
      </c>
      <c r="I280" t="str">
        <f t="shared" si="4"/>
        <v>Bagre bagreCatfish</v>
      </c>
    </row>
    <row r="281" spans="1:9" x14ac:dyDescent="0.35">
      <c r="A281" s="8">
        <v>16</v>
      </c>
      <c r="B281" s="8">
        <v>2016</v>
      </c>
      <c r="C281" s="8">
        <v>9</v>
      </c>
      <c r="D281" s="8" t="s">
        <v>173</v>
      </c>
      <c r="E281" s="8" t="s">
        <v>348</v>
      </c>
      <c r="F281" t="s">
        <v>54</v>
      </c>
      <c r="G281" t="s">
        <v>55</v>
      </c>
      <c r="H281" s="4">
        <v>0.5</v>
      </c>
      <c r="I281" t="str">
        <f t="shared" si="4"/>
        <v>Arius proopsCuirass</v>
      </c>
    </row>
    <row r="282" spans="1:9" x14ac:dyDescent="0.35">
      <c r="A282" s="8">
        <v>16</v>
      </c>
      <c r="B282" s="8">
        <v>2016</v>
      </c>
      <c r="C282" s="8">
        <v>9</v>
      </c>
      <c r="D282" s="8" t="s">
        <v>173</v>
      </c>
      <c r="E282" s="8" t="s">
        <v>348</v>
      </c>
      <c r="F282" t="s">
        <v>6</v>
      </c>
      <c r="G282" t="s">
        <v>37</v>
      </c>
      <c r="H282" s="4">
        <v>0.3</v>
      </c>
      <c r="I282" t="str">
        <f t="shared" si="4"/>
        <v>Symphurus plagusiaTongue fish</v>
      </c>
    </row>
    <row r="283" spans="1:9" x14ac:dyDescent="0.35">
      <c r="A283" s="8">
        <v>16</v>
      </c>
      <c r="B283" s="8">
        <v>2016</v>
      </c>
      <c r="C283" s="8">
        <v>9</v>
      </c>
      <c r="D283" s="8" t="s">
        <v>173</v>
      </c>
      <c r="E283" s="8" t="s">
        <v>348</v>
      </c>
      <c r="F283" t="s">
        <v>7</v>
      </c>
      <c r="G283" t="s">
        <v>8</v>
      </c>
      <c r="H283" s="4">
        <v>0.2</v>
      </c>
      <c r="I283" t="str">
        <f t="shared" si="4"/>
        <v>Achirus achirusDrab Sole</v>
      </c>
    </row>
    <row r="284" spans="1:9" x14ac:dyDescent="0.35">
      <c r="A284" s="8">
        <v>16</v>
      </c>
      <c r="B284" s="8">
        <v>2016</v>
      </c>
      <c r="C284" s="8">
        <v>9</v>
      </c>
      <c r="D284" s="8" t="s">
        <v>173</v>
      </c>
      <c r="E284" s="8" t="s">
        <v>348</v>
      </c>
      <c r="F284" t="s">
        <v>40</v>
      </c>
      <c r="G284" t="s">
        <v>35</v>
      </c>
      <c r="H284" s="4">
        <v>26.400000000000002</v>
      </c>
      <c r="I284" t="str">
        <f t="shared" si="4"/>
        <v>Macrodon ancylodonBangamary</v>
      </c>
    </row>
    <row r="285" spans="1:9" x14ac:dyDescent="0.35">
      <c r="A285" s="8">
        <v>16</v>
      </c>
      <c r="B285" s="8">
        <v>2016</v>
      </c>
      <c r="C285" s="8">
        <v>9</v>
      </c>
      <c r="D285" s="8" t="s">
        <v>173</v>
      </c>
      <c r="E285" s="8" t="s">
        <v>348</v>
      </c>
      <c r="F285" t="s">
        <v>39</v>
      </c>
      <c r="G285" t="s">
        <v>38</v>
      </c>
      <c r="H285" s="4">
        <v>0.3</v>
      </c>
      <c r="I285" t="str">
        <f t="shared" si="4"/>
        <v>Colomesus psittacusBanded Puffer</v>
      </c>
    </row>
    <row r="286" spans="1:9" x14ac:dyDescent="0.35">
      <c r="A286" s="8">
        <v>16</v>
      </c>
      <c r="B286" s="8">
        <v>2016</v>
      </c>
      <c r="C286" s="8">
        <v>9</v>
      </c>
      <c r="D286" s="8" t="s">
        <v>173</v>
      </c>
      <c r="E286" s="8" t="s">
        <v>348</v>
      </c>
      <c r="F286" t="s">
        <v>283</v>
      </c>
      <c r="G286" t="s">
        <v>284</v>
      </c>
      <c r="H286" s="4">
        <v>1</v>
      </c>
      <c r="I286" t="str">
        <f t="shared" si="4"/>
        <v>Paralonchurus braziliensisBanded croaker</v>
      </c>
    </row>
    <row r="287" spans="1:9" x14ac:dyDescent="0.35">
      <c r="A287" s="8">
        <v>16</v>
      </c>
      <c r="B287" s="8">
        <v>2016</v>
      </c>
      <c r="C287" s="8">
        <v>9</v>
      </c>
      <c r="D287" s="8" t="s">
        <v>173</v>
      </c>
      <c r="E287" s="8" t="s">
        <v>348</v>
      </c>
      <c r="F287" t="s">
        <v>117</v>
      </c>
      <c r="G287" t="s">
        <v>108</v>
      </c>
      <c r="H287" s="4">
        <v>0.1</v>
      </c>
      <c r="I287" t="str">
        <f t="shared" si="4"/>
        <v>Lobotes surinamensisPagi</v>
      </c>
    </row>
    <row r="288" spans="1:9" x14ac:dyDescent="0.35">
      <c r="A288" s="8">
        <v>16</v>
      </c>
      <c r="B288" s="8">
        <v>2016</v>
      </c>
      <c r="C288" s="8">
        <v>9</v>
      </c>
      <c r="D288" s="8" t="s">
        <v>173</v>
      </c>
      <c r="E288" s="8" t="s">
        <v>348</v>
      </c>
      <c r="F288" t="s">
        <v>17</v>
      </c>
      <c r="G288" t="s">
        <v>34</v>
      </c>
      <c r="H288" s="4">
        <v>2</v>
      </c>
      <c r="I288" t="str">
        <f t="shared" si="4"/>
        <v>Larimus brevicepsSilver Snapper</v>
      </c>
    </row>
    <row r="289" spans="1:9" x14ac:dyDescent="0.35">
      <c r="A289" s="8">
        <v>16</v>
      </c>
      <c r="B289" s="8">
        <v>2016</v>
      </c>
      <c r="C289" s="8">
        <v>9</v>
      </c>
      <c r="D289" s="8" t="s">
        <v>173</v>
      </c>
      <c r="E289" s="8" t="s">
        <v>348</v>
      </c>
      <c r="F289" t="s">
        <v>21</v>
      </c>
      <c r="G289" t="s">
        <v>59</v>
      </c>
      <c r="H289" s="4">
        <v>57.2</v>
      </c>
      <c r="I289" t="str">
        <f t="shared" si="4"/>
        <v>Stellifer micropsRockhead</v>
      </c>
    </row>
    <row r="290" spans="1:9" x14ac:dyDescent="0.35">
      <c r="A290" s="8">
        <v>16</v>
      </c>
      <c r="B290" s="8">
        <v>2016</v>
      </c>
      <c r="C290" s="8">
        <v>9</v>
      </c>
      <c r="D290" s="8" t="s">
        <v>173</v>
      </c>
      <c r="E290" s="8" t="s">
        <v>348</v>
      </c>
      <c r="F290" t="s">
        <v>63</v>
      </c>
      <c r="G290" t="s">
        <v>62</v>
      </c>
      <c r="H290" s="4">
        <v>0.3</v>
      </c>
      <c r="I290" t="str">
        <f t="shared" si="4"/>
        <v>Selene browniMoonfish</v>
      </c>
    </row>
    <row r="291" spans="1:9" x14ac:dyDescent="0.35">
      <c r="A291" s="8">
        <v>16</v>
      </c>
      <c r="B291" s="8">
        <v>2016</v>
      </c>
      <c r="C291" s="8">
        <v>9</v>
      </c>
      <c r="D291" s="8" t="s">
        <v>173</v>
      </c>
      <c r="E291" s="8" t="s">
        <v>348</v>
      </c>
      <c r="F291" t="s">
        <v>41</v>
      </c>
      <c r="G291" t="s">
        <v>10</v>
      </c>
      <c r="H291" s="4">
        <v>2</v>
      </c>
      <c r="I291" t="str">
        <f t="shared" si="4"/>
        <v>Chaetodipterus faberSea Donkey</v>
      </c>
    </row>
    <row r="292" spans="1:9" x14ac:dyDescent="0.35">
      <c r="A292" s="8">
        <v>16</v>
      </c>
      <c r="B292" s="8">
        <v>2016</v>
      </c>
      <c r="C292" s="8">
        <v>9</v>
      </c>
      <c r="D292" s="8" t="s">
        <v>173</v>
      </c>
      <c r="E292" s="8" t="s">
        <v>348</v>
      </c>
      <c r="F292" t="s">
        <v>118</v>
      </c>
      <c r="G292" t="s">
        <v>113</v>
      </c>
      <c r="H292" s="4">
        <v>5</v>
      </c>
      <c r="I292" t="str">
        <f t="shared" si="4"/>
        <v>Carank hipposCavalli</v>
      </c>
    </row>
    <row r="293" spans="1:9" x14ac:dyDescent="0.35">
      <c r="A293" s="8">
        <v>16</v>
      </c>
      <c r="B293" s="8">
        <v>2016</v>
      </c>
      <c r="C293" s="8">
        <v>9</v>
      </c>
      <c r="D293" s="8" t="s">
        <v>173</v>
      </c>
      <c r="E293" s="8" t="s">
        <v>348</v>
      </c>
      <c r="F293" t="s">
        <v>121</v>
      </c>
      <c r="G293" t="s">
        <v>44</v>
      </c>
      <c r="H293" s="4">
        <v>0.5</v>
      </c>
      <c r="I293" t="str">
        <f t="shared" si="4"/>
        <v>Anchoa mitchilliNegli</v>
      </c>
    </row>
    <row r="294" spans="1:9" x14ac:dyDescent="0.35">
      <c r="A294" s="8">
        <v>16</v>
      </c>
      <c r="B294" s="8">
        <v>2016</v>
      </c>
      <c r="C294" s="8">
        <v>9</v>
      </c>
      <c r="D294" s="8" t="s">
        <v>173</v>
      </c>
      <c r="E294" s="8" t="s">
        <v>348</v>
      </c>
      <c r="F294" t="s">
        <v>58</v>
      </c>
      <c r="G294" t="s">
        <v>59</v>
      </c>
      <c r="H294" s="4">
        <v>0.25</v>
      </c>
      <c r="I294" t="str">
        <f t="shared" si="4"/>
        <v>Stellifer rastriferRockhead</v>
      </c>
    </row>
    <row r="295" spans="1:9" x14ac:dyDescent="0.35">
      <c r="A295" s="8">
        <v>16</v>
      </c>
      <c r="B295" s="8">
        <v>2016</v>
      </c>
      <c r="C295" s="8">
        <v>9</v>
      </c>
      <c r="D295" s="8" t="s">
        <v>173</v>
      </c>
      <c r="E295" s="8" t="s">
        <v>348</v>
      </c>
      <c r="F295" t="s">
        <v>43</v>
      </c>
      <c r="G295" t="s">
        <v>57</v>
      </c>
      <c r="H295" s="4">
        <v>0.25</v>
      </c>
      <c r="I295" t="str">
        <f t="shared" si="4"/>
        <v>Cynoscion virescensSeatrout</v>
      </c>
    </row>
    <row r="296" spans="1:9" x14ac:dyDescent="0.35">
      <c r="A296" s="8">
        <v>16</v>
      </c>
      <c r="B296" s="8">
        <v>2016</v>
      </c>
      <c r="C296" s="8">
        <v>9</v>
      </c>
      <c r="D296" s="8" t="s">
        <v>173</v>
      </c>
      <c r="E296" s="8" t="s">
        <v>348</v>
      </c>
      <c r="F296" t="s">
        <v>50</v>
      </c>
      <c r="G296" t="s">
        <v>56</v>
      </c>
      <c r="H296" s="4">
        <v>15.400000000000002</v>
      </c>
      <c r="I296" t="str">
        <f t="shared" si="4"/>
        <v>Trichiurus lepturusSilverbelt</v>
      </c>
    </row>
    <row r="297" spans="1:9" x14ac:dyDescent="0.35">
      <c r="A297" s="8">
        <v>16</v>
      </c>
      <c r="B297" s="8">
        <v>2016</v>
      </c>
      <c r="C297" s="8">
        <v>9</v>
      </c>
      <c r="D297" s="8" t="s">
        <v>173</v>
      </c>
      <c r="E297" s="8" t="s">
        <v>348</v>
      </c>
      <c r="F297" t="s">
        <v>111</v>
      </c>
      <c r="G297" t="s">
        <v>109</v>
      </c>
      <c r="H297" s="4">
        <v>1</v>
      </c>
      <c r="I297" t="str">
        <f t="shared" si="4"/>
        <v>Micropogonias furnieriBashaw</v>
      </c>
    </row>
    <row r="298" spans="1:9" x14ac:dyDescent="0.35">
      <c r="A298" s="8">
        <v>16</v>
      </c>
      <c r="B298" s="8">
        <v>2016</v>
      </c>
      <c r="C298" s="8">
        <v>9</v>
      </c>
      <c r="D298" s="8" t="s">
        <v>173</v>
      </c>
      <c r="E298" s="8" t="s">
        <v>348</v>
      </c>
      <c r="F298" t="s">
        <v>122</v>
      </c>
      <c r="G298" t="s">
        <v>53</v>
      </c>
      <c r="H298" s="4">
        <v>6.6000000000000005</v>
      </c>
      <c r="I298" t="str">
        <f t="shared" si="4"/>
        <v>Pellona harroweriRiver Pellona</v>
      </c>
    </row>
    <row r="299" spans="1:9" x14ac:dyDescent="0.35">
      <c r="A299" s="8">
        <v>16</v>
      </c>
      <c r="B299" s="8">
        <v>2016</v>
      </c>
      <c r="C299" s="8">
        <v>9</v>
      </c>
      <c r="D299" s="8" t="s">
        <v>173</v>
      </c>
      <c r="E299" s="8" t="s">
        <v>348</v>
      </c>
      <c r="F299" t="s">
        <v>3</v>
      </c>
      <c r="G299" t="s">
        <v>32</v>
      </c>
      <c r="H299" s="4">
        <v>3</v>
      </c>
      <c r="I299" t="str">
        <f t="shared" si="4"/>
        <v>Ophichtus gomesiShrimp Eel</v>
      </c>
    </row>
    <row r="300" spans="1:9" x14ac:dyDescent="0.35">
      <c r="A300" s="8">
        <v>17</v>
      </c>
      <c r="B300" s="8">
        <v>2016</v>
      </c>
      <c r="C300" s="8">
        <v>9</v>
      </c>
      <c r="D300" s="8" t="s">
        <v>175</v>
      </c>
      <c r="E300" s="8" t="s">
        <v>348</v>
      </c>
      <c r="F300" t="s">
        <v>1</v>
      </c>
      <c r="G300" t="s">
        <v>291</v>
      </c>
      <c r="H300" s="4">
        <v>20</v>
      </c>
      <c r="I300" t="str">
        <f t="shared" si="4"/>
        <v>Dastyis guttataLongnose stingray</v>
      </c>
    </row>
    <row r="301" spans="1:9" x14ac:dyDescent="0.35">
      <c r="A301" s="8">
        <v>17</v>
      </c>
      <c r="B301" s="8">
        <v>2016</v>
      </c>
      <c r="C301" s="8">
        <v>9</v>
      </c>
      <c r="D301" s="8" t="s">
        <v>175</v>
      </c>
      <c r="E301" s="8" t="s">
        <v>348</v>
      </c>
      <c r="F301" t="s">
        <v>2</v>
      </c>
      <c r="G301" t="s">
        <v>307</v>
      </c>
      <c r="H301" s="4">
        <v>9</v>
      </c>
      <c r="I301" t="str">
        <f t="shared" si="4"/>
        <v>Gymnura micruraButterfly stingray</v>
      </c>
    </row>
    <row r="302" spans="1:9" x14ac:dyDescent="0.35">
      <c r="A302" s="8">
        <v>17</v>
      </c>
      <c r="B302" s="8">
        <v>2016</v>
      </c>
      <c r="C302" s="8">
        <v>9</v>
      </c>
      <c r="D302" s="8" t="s">
        <v>175</v>
      </c>
      <c r="E302" s="8" t="s">
        <v>348</v>
      </c>
      <c r="F302" t="s">
        <v>355</v>
      </c>
      <c r="G302" t="s">
        <v>356</v>
      </c>
      <c r="H302" s="4">
        <v>1.47</v>
      </c>
      <c r="I302" t="str">
        <f t="shared" si="4"/>
        <v>Pseduobatos percellensChola guitarfish</v>
      </c>
    </row>
    <row r="303" spans="1:9" x14ac:dyDescent="0.35">
      <c r="A303" s="8">
        <v>17</v>
      </c>
      <c r="B303" s="8">
        <v>2016</v>
      </c>
      <c r="C303" s="8">
        <v>9</v>
      </c>
      <c r="D303" s="8" t="s">
        <v>175</v>
      </c>
      <c r="E303" s="8" t="s">
        <v>348</v>
      </c>
      <c r="F303" t="s">
        <v>54</v>
      </c>
      <c r="G303" t="s">
        <v>55</v>
      </c>
      <c r="H303" s="4">
        <v>0.55000000000000004</v>
      </c>
      <c r="I303" t="str">
        <f t="shared" si="4"/>
        <v>Arius proopsCuirass</v>
      </c>
    </row>
    <row r="304" spans="1:9" x14ac:dyDescent="0.35">
      <c r="A304" s="8">
        <v>17</v>
      </c>
      <c r="B304" s="8">
        <v>2016</v>
      </c>
      <c r="C304" s="8">
        <v>9</v>
      </c>
      <c r="D304" s="8" t="s">
        <v>175</v>
      </c>
      <c r="E304" s="8" t="s">
        <v>348</v>
      </c>
      <c r="F304" t="s">
        <v>6</v>
      </c>
      <c r="G304" t="s">
        <v>37</v>
      </c>
      <c r="H304" s="4">
        <v>1.68</v>
      </c>
      <c r="I304" t="str">
        <f t="shared" si="4"/>
        <v>Symphurus plagusiaTongue fish</v>
      </c>
    </row>
    <row r="305" spans="1:9" x14ac:dyDescent="0.35">
      <c r="A305" s="8">
        <v>17</v>
      </c>
      <c r="B305" s="8">
        <v>2016</v>
      </c>
      <c r="C305" s="8">
        <v>9</v>
      </c>
      <c r="D305" s="8" t="s">
        <v>175</v>
      </c>
      <c r="E305" s="8" t="s">
        <v>348</v>
      </c>
      <c r="F305" t="s">
        <v>40</v>
      </c>
      <c r="G305" t="s">
        <v>35</v>
      </c>
      <c r="H305" s="4">
        <v>6.62</v>
      </c>
      <c r="I305" t="str">
        <f t="shared" si="4"/>
        <v>Macrodon ancylodonBangamary</v>
      </c>
    </row>
    <row r="306" spans="1:9" x14ac:dyDescent="0.35">
      <c r="A306" s="8">
        <v>17</v>
      </c>
      <c r="B306" s="8">
        <v>2016</v>
      </c>
      <c r="C306" s="8">
        <v>9</v>
      </c>
      <c r="D306" s="8" t="s">
        <v>175</v>
      </c>
      <c r="E306" s="8" t="s">
        <v>348</v>
      </c>
      <c r="F306" t="s">
        <v>39</v>
      </c>
      <c r="G306" t="s">
        <v>38</v>
      </c>
      <c r="H306" s="4">
        <v>2.83</v>
      </c>
      <c r="I306" t="str">
        <f t="shared" si="4"/>
        <v>Colomesus psittacusBanded Puffer</v>
      </c>
    </row>
    <row r="307" spans="1:9" x14ac:dyDescent="0.35">
      <c r="A307" s="8">
        <v>17</v>
      </c>
      <c r="B307" s="8">
        <v>2016</v>
      </c>
      <c r="C307" s="8">
        <v>9</v>
      </c>
      <c r="D307" s="8" t="s">
        <v>175</v>
      </c>
      <c r="E307" s="8" t="s">
        <v>348</v>
      </c>
      <c r="F307" t="s">
        <v>283</v>
      </c>
      <c r="G307" t="s">
        <v>284</v>
      </c>
      <c r="H307" s="4">
        <v>1</v>
      </c>
      <c r="I307" t="str">
        <f t="shared" si="4"/>
        <v>Paralonchurus braziliensisBanded croaker</v>
      </c>
    </row>
    <row r="308" spans="1:9" x14ac:dyDescent="0.35">
      <c r="A308" s="8">
        <v>17</v>
      </c>
      <c r="B308" s="8">
        <v>2016</v>
      </c>
      <c r="C308" s="8">
        <v>9</v>
      </c>
      <c r="D308" s="8" t="s">
        <v>175</v>
      </c>
      <c r="E308" s="8" t="s">
        <v>348</v>
      </c>
      <c r="F308" t="s">
        <v>11</v>
      </c>
      <c r="G308" t="s">
        <v>282</v>
      </c>
      <c r="H308" s="4">
        <v>0.19</v>
      </c>
      <c r="I308" t="str">
        <f t="shared" si="4"/>
        <v>Centropomus pectinatus Chinese snook</v>
      </c>
    </row>
    <row r="309" spans="1:9" x14ac:dyDescent="0.35">
      <c r="A309" s="8">
        <v>17</v>
      </c>
      <c r="B309" s="8">
        <v>2016</v>
      </c>
      <c r="C309" s="8">
        <v>9</v>
      </c>
      <c r="D309" s="8" t="s">
        <v>175</v>
      </c>
      <c r="E309" s="8" t="s">
        <v>348</v>
      </c>
      <c r="F309" t="s">
        <v>21</v>
      </c>
      <c r="G309" t="s">
        <v>59</v>
      </c>
      <c r="H309" s="4">
        <v>24</v>
      </c>
      <c r="I309" t="str">
        <f t="shared" si="4"/>
        <v>Stellifer micropsRockhead</v>
      </c>
    </row>
    <row r="310" spans="1:9" x14ac:dyDescent="0.35">
      <c r="A310" s="8">
        <v>17</v>
      </c>
      <c r="B310" s="8">
        <v>2016</v>
      </c>
      <c r="C310" s="8">
        <v>9</v>
      </c>
      <c r="D310" s="8" t="s">
        <v>175</v>
      </c>
      <c r="E310" s="8" t="s">
        <v>348</v>
      </c>
      <c r="F310" t="s">
        <v>119</v>
      </c>
      <c r="G310" t="s">
        <v>120</v>
      </c>
      <c r="H310" s="4">
        <v>2.09</v>
      </c>
      <c r="I310" t="str">
        <f t="shared" si="4"/>
        <v>Selene VomerLookdown</v>
      </c>
    </row>
    <row r="311" spans="1:9" x14ac:dyDescent="0.35">
      <c r="A311" s="8">
        <v>17</v>
      </c>
      <c r="B311" s="8">
        <v>2016</v>
      </c>
      <c r="C311" s="8">
        <v>9</v>
      </c>
      <c r="D311" s="8" t="s">
        <v>175</v>
      </c>
      <c r="E311" s="8" t="s">
        <v>348</v>
      </c>
      <c r="F311" t="s">
        <v>41</v>
      </c>
      <c r="G311" t="s">
        <v>10</v>
      </c>
      <c r="H311" s="4">
        <v>0.43</v>
      </c>
      <c r="I311" t="str">
        <f t="shared" si="4"/>
        <v>Chaetodipterus faberSea Donkey</v>
      </c>
    </row>
    <row r="312" spans="1:9" x14ac:dyDescent="0.35">
      <c r="A312" s="8">
        <v>17</v>
      </c>
      <c r="B312" s="8">
        <v>2016</v>
      </c>
      <c r="C312" s="8">
        <v>9</v>
      </c>
      <c r="D312" s="8" t="s">
        <v>175</v>
      </c>
      <c r="E312" s="8" t="s">
        <v>348</v>
      </c>
      <c r="F312" t="s">
        <v>18</v>
      </c>
      <c r="G312" t="s">
        <v>81</v>
      </c>
      <c r="H312" s="4">
        <v>0.75</v>
      </c>
      <c r="I312" t="str">
        <f t="shared" si="4"/>
        <v>Genyatremus leteusAnnafolk</v>
      </c>
    </row>
    <row r="313" spans="1:9" x14ac:dyDescent="0.35">
      <c r="A313" s="8">
        <v>17</v>
      </c>
      <c r="B313" s="8">
        <v>2016</v>
      </c>
      <c r="C313" s="8">
        <v>9</v>
      </c>
      <c r="D313" s="8" t="s">
        <v>175</v>
      </c>
      <c r="E313" s="8" t="s">
        <v>348</v>
      </c>
      <c r="F313" t="s">
        <v>121</v>
      </c>
      <c r="G313" t="s">
        <v>44</v>
      </c>
      <c r="H313" s="4">
        <v>0.19</v>
      </c>
      <c r="I313" t="str">
        <f t="shared" si="4"/>
        <v>Anchoa mitchilliNegli</v>
      </c>
    </row>
    <row r="314" spans="1:9" x14ac:dyDescent="0.35">
      <c r="A314" s="8">
        <v>17</v>
      </c>
      <c r="B314" s="8">
        <v>2016</v>
      </c>
      <c r="C314" s="8">
        <v>9</v>
      </c>
      <c r="D314" s="8" t="s">
        <v>175</v>
      </c>
      <c r="E314" s="8" t="s">
        <v>348</v>
      </c>
      <c r="F314" t="s">
        <v>85</v>
      </c>
      <c r="G314" t="s">
        <v>86</v>
      </c>
      <c r="H314" s="4">
        <v>0.04</v>
      </c>
      <c r="I314" t="str">
        <f t="shared" si="4"/>
        <v>Squilla mantisMantis Shrimp</v>
      </c>
    </row>
    <row r="315" spans="1:9" x14ac:dyDescent="0.35">
      <c r="A315" s="8">
        <v>17</v>
      </c>
      <c r="B315" s="8">
        <v>2016</v>
      </c>
      <c r="C315" s="8">
        <v>9</v>
      </c>
      <c r="D315" s="8" t="s">
        <v>175</v>
      </c>
      <c r="E315" s="8" t="s">
        <v>348</v>
      </c>
      <c r="F315" t="s">
        <v>17</v>
      </c>
      <c r="G315" t="s">
        <v>34</v>
      </c>
      <c r="H315" s="4">
        <v>14</v>
      </c>
      <c r="I315" t="str">
        <f t="shared" si="4"/>
        <v>Larimus brevicepsSilver Snapper</v>
      </c>
    </row>
    <row r="316" spans="1:9" x14ac:dyDescent="0.35">
      <c r="A316" s="8">
        <v>17</v>
      </c>
      <c r="B316" s="8">
        <v>2016</v>
      </c>
      <c r="C316" s="8">
        <v>9</v>
      </c>
      <c r="D316" s="8" t="s">
        <v>175</v>
      </c>
      <c r="E316" s="8" t="s">
        <v>348</v>
      </c>
      <c r="F316" t="s">
        <v>43</v>
      </c>
      <c r="G316" t="s">
        <v>57</v>
      </c>
      <c r="H316" s="4">
        <v>4</v>
      </c>
      <c r="I316" t="str">
        <f t="shared" si="4"/>
        <v>Cynoscion virescensSeatrout</v>
      </c>
    </row>
    <row r="317" spans="1:9" x14ac:dyDescent="0.35">
      <c r="A317" s="8">
        <v>17</v>
      </c>
      <c r="B317" s="8">
        <v>2016</v>
      </c>
      <c r="C317" s="8">
        <v>9</v>
      </c>
      <c r="D317" s="8" t="s">
        <v>175</v>
      </c>
      <c r="E317" s="8" t="s">
        <v>348</v>
      </c>
      <c r="F317" t="s">
        <v>50</v>
      </c>
      <c r="G317" t="s">
        <v>56</v>
      </c>
      <c r="H317" s="4">
        <v>0.33</v>
      </c>
      <c r="I317" t="str">
        <f t="shared" si="4"/>
        <v>Trichiurus lepturusSilverbelt</v>
      </c>
    </row>
    <row r="318" spans="1:9" x14ac:dyDescent="0.35">
      <c r="A318" s="8">
        <v>17</v>
      </c>
      <c r="B318" s="8">
        <v>2016</v>
      </c>
      <c r="C318" s="8">
        <v>9</v>
      </c>
      <c r="D318" s="8" t="s">
        <v>175</v>
      </c>
      <c r="E318" s="8" t="s">
        <v>348</v>
      </c>
      <c r="F318" t="s">
        <v>111</v>
      </c>
      <c r="G318" t="s">
        <v>109</v>
      </c>
      <c r="H318" s="4">
        <v>0.6</v>
      </c>
      <c r="I318" t="str">
        <f t="shared" si="4"/>
        <v>Micropogonias furnieriBashaw</v>
      </c>
    </row>
    <row r="319" spans="1:9" x14ac:dyDescent="0.35">
      <c r="A319" s="8">
        <v>17</v>
      </c>
      <c r="B319" s="8">
        <v>2016</v>
      </c>
      <c r="C319" s="8">
        <v>9</v>
      </c>
      <c r="D319" s="8" t="s">
        <v>175</v>
      </c>
      <c r="E319" s="8" t="s">
        <v>348</v>
      </c>
      <c r="F319" t="s">
        <v>122</v>
      </c>
      <c r="G319" t="s">
        <v>53</v>
      </c>
      <c r="H319" s="4">
        <v>0.4</v>
      </c>
      <c r="I319" t="str">
        <f t="shared" si="4"/>
        <v>Pellona harroweriRiver Pellona</v>
      </c>
    </row>
    <row r="320" spans="1:9" x14ac:dyDescent="0.35">
      <c r="A320" s="8">
        <v>17</v>
      </c>
      <c r="B320" s="8">
        <v>2016</v>
      </c>
      <c r="C320" s="8">
        <v>9</v>
      </c>
      <c r="D320" s="8" t="s">
        <v>175</v>
      </c>
      <c r="E320" s="8" t="s">
        <v>348</v>
      </c>
      <c r="F320" t="s">
        <v>116</v>
      </c>
      <c r="G320" t="s">
        <v>115</v>
      </c>
      <c r="H320" s="4">
        <v>0.1</v>
      </c>
      <c r="I320" t="str">
        <f t="shared" si="4"/>
        <v>Anchoa spiniferSpecule Anchovy</v>
      </c>
    </row>
    <row r="321" spans="1:9" x14ac:dyDescent="0.35">
      <c r="A321" s="8">
        <v>17</v>
      </c>
      <c r="B321" s="8">
        <v>2016</v>
      </c>
      <c r="C321" s="8">
        <v>9</v>
      </c>
      <c r="D321" s="8" t="s">
        <v>175</v>
      </c>
      <c r="E321" s="8" t="s">
        <v>348</v>
      </c>
      <c r="F321" t="s">
        <v>3</v>
      </c>
      <c r="G321" t="s">
        <v>32</v>
      </c>
      <c r="H321" s="4">
        <v>0.42</v>
      </c>
      <c r="I321" t="str">
        <f t="shared" si="4"/>
        <v>Ophichtus gomesiShrimp Eel</v>
      </c>
    </row>
    <row r="322" spans="1:9" x14ac:dyDescent="0.35">
      <c r="A322" s="8">
        <v>18</v>
      </c>
      <c r="B322" s="8">
        <v>2016</v>
      </c>
      <c r="C322" s="8">
        <v>10</v>
      </c>
      <c r="D322" s="8" t="s">
        <v>175</v>
      </c>
      <c r="E322" s="8" t="s">
        <v>348</v>
      </c>
      <c r="F322" t="s">
        <v>1</v>
      </c>
      <c r="G322" t="s">
        <v>291</v>
      </c>
      <c r="H322" s="4">
        <v>20.900000000000002</v>
      </c>
      <c r="I322" t="str">
        <f t="shared" si="4"/>
        <v>Dastyis guttataLongnose stingray</v>
      </c>
    </row>
    <row r="323" spans="1:9" x14ac:dyDescent="0.35">
      <c r="A323" s="8">
        <v>18</v>
      </c>
      <c r="B323" s="8">
        <v>2016</v>
      </c>
      <c r="C323" s="8">
        <v>10</v>
      </c>
      <c r="D323" s="8" t="s">
        <v>175</v>
      </c>
      <c r="E323" s="8" t="s">
        <v>348</v>
      </c>
      <c r="F323" t="s">
        <v>129</v>
      </c>
      <c r="G323" t="s">
        <v>306</v>
      </c>
      <c r="H323" s="4">
        <v>7.7000000000000011</v>
      </c>
      <c r="I323" t="str">
        <f t="shared" ref="I323:I386" si="5">CONCATENATE(F323,G323)</f>
        <v>Dasyatis geijskesiSharpsnout stingray</v>
      </c>
    </row>
    <row r="324" spans="1:9" x14ac:dyDescent="0.35">
      <c r="A324" s="8">
        <v>18</v>
      </c>
      <c r="B324" s="8">
        <v>2016</v>
      </c>
      <c r="C324" s="8">
        <v>10</v>
      </c>
      <c r="D324" s="8" t="s">
        <v>175</v>
      </c>
      <c r="E324" s="8" t="s">
        <v>348</v>
      </c>
      <c r="F324" t="s">
        <v>2</v>
      </c>
      <c r="G324" t="s">
        <v>307</v>
      </c>
      <c r="H324" s="4">
        <v>13.200000000000001</v>
      </c>
      <c r="I324" t="str">
        <f t="shared" si="5"/>
        <v>Gymnura micruraButterfly stingray</v>
      </c>
    </row>
    <row r="325" spans="1:9" x14ac:dyDescent="0.35">
      <c r="A325" s="8">
        <v>18</v>
      </c>
      <c r="B325" s="8">
        <v>2016</v>
      </c>
      <c r="C325" s="8">
        <v>10</v>
      </c>
      <c r="D325" s="8" t="s">
        <v>175</v>
      </c>
      <c r="E325" s="8" t="s">
        <v>348</v>
      </c>
      <c r="F325" t="s">
        <v>355</v>
      </c>
      <c r="G325" t="s">
        <v>356</v>
      </c>
      <c r="H325" s="4">
        <v>1.86</v>
      </c>
      <c r="I325" t="str">
        <f t="shared" si="5"/>
        <v>Pseduobatos percellensChola guitarfish</v>
      </c>
    </row>
    <row r="326" spans="1:9" x14ac:dyDescent="0.35">
      <c r="A326" s="8">
        <v>18</v>
      </c>
      <c r="B326" s="8">
        <v>2016</v>
      </c>
      <c r="C326" s="8">
        <v>10</v>
      </c>
      <c r="D326" s="8" t="s">
        <v>175</v>
      </c>
      <c r="E326" s="8" t="s">
        <v>348</v>
      </c>
      <c r="F326" t="s">
        <v>54</v>
      </c>
      <c r="G326" t="s">
        <v>55</v>
      </c>
      <c r="H326" s="4">
        <v>0.94</v>
      </c>
      <c r="I326" t="str">
        <f t="shared" si="5"/>
        <v>Arius proopsCuirass</v>
      </c>
    </row>
    <row r="327" spans="1:9" x14ac:dyDescent="0.35">
      <c r="A327" s="8">
        <v>18</v>
      </c>
      <c r="B327" s="8">
        <v>2016</v>
      </c>
      <c r="C327" s="8">
        <v>10</v>
      </c>
      <c r="D327" s="8" t="s">
        <v>175</v>
      </c>
      <c r="E327" s="8" t="s">
        <v>348</v>
      </c>
      <c r="F327" t="s">
        <v>5</v>
      </c>
      <c r="G327" t="s">
        <v>4</v>
      </c>
      <c r="H327" s="4">
        <v>0.79</v>
      </c>
      <c r="I327" t="str">
        <f t="shared" si="5"/>
        <v>Bagre bagreCatfish</v>
      </c>
    </row>
    <row r="328" spans="1:9" x14ac:dyDescent="0.35">
      <c r="A328" s="8">
        <v>18</v>
      </c>
      <c r="B328" s="8">
        <v>2016</v>
      </c>
      <c r="C328" s="8">
        <v>10</v>
      </c>
      <c r="D328" s="8" t="s">
        <v>175</v>
      </c>
      <c r="E328" s="8" t="s">
        <v>348</v>
      </c>
      <c r="F328" t="s">
        <v>6</v>
      </c>
      <c r="G328" t="s">
        <v>37</v>
      </c>
      <c r="H328" s="4">
        <v>1.77</v>
      </c>
      <c r="I328" t="str">
        <f t="shared" si="5"/>
        <v>Symphurus plagusiaTongue fish</v>
      </c>
    </row>
    <row r="329" spans="1:9" x14ac:dyDescent="0.35">
      <c r="A329" s="8">
        <v>18</v>
      </c>
      <c r="B329" s="8">
        <v>2016</v>
      </c>
      <c r="C329" s="8">
        <v>10</v>
      </c>
      <c r="D329" s="8" t="s">
        <v>175</v>
      </c>
      <c r="E329" s="8" t="s">
        <v>348</v>
      </c>
      <c r="F329" t="s">
        <v>80</v>
      </c>
      <c r="G329" t="s">
        <v>79</v>
      </c>
      <c r="H329" s="4">
        <v>0.14000000000000001</v>
      </c>
      <c r="I329" t="str">
        <f t="shared" si="5"/>
        <v>Apionichthys dumeriliLongtail Sole</v>
      </c>
    </row>
    <row r="330" spans="1:9" x14ac:dyDescent="0.35">
      <c r="A330" s="8">
        <v>18</v>
      </c>
      <c r="B330" s="8">
        <v>2016</v>
      </c>
      <c r="C330" s="8">
        <v>10</v>
      </c>
      <c r="D330" s="8" t="s">
        <v>175</v>
      </c>
      <c r="E330" s="8" t="s">
        <v>348</v>
      </c>
      <c r="F330" t="s">
        <v>7</v>
      </c>
      <c r="G330" t="s">
        <v>8</v>
      </c>
      <c r="H330" s="4">
        <v>0.27</v>
      </c>
      <c r="I330" t="str">
        <f t="shared" si="5"/>
        <v>Achirus achirusDrab Sole</v>
      </c>
    </row>
    <row r="331" spans="1:9" x14ac:dyDescent="0.35">
      <c r="A331" s="8">
        <v>18</v>
      </c>
      <c r="B331" s="8">
        <v>2016</v>
      </c>
      <c r="C331" s="8">
        <v>10</v>
      </c>
      <c r="D331" s="8" t="s">
        <v>175</v>
      </c>
      <c r="E331" s="8" t="s">
        <v>348</v>
      </c>
      <c r="F331" t="s">
        <v>40</v>
      </c>
      <c r="G331" t="s">
        <v>35</v>
      </c>
      <c r="H331" s="4">
        <v>8.8000000000000007</v>
      </c>
      <c r="I331" t="str">
        <f t="shared" si="5"/>
        <v>Macrodon ancylodonBangamary</v>
      </c>
    </row>
    <row r="332" spans="1:9" x14ac:dyDescent="0.35">
      <c r="A332" s="8">
        <v>18</v>
      </c>
      <c r="B332" s="8">
        <v>2016</v>
      </c>
      <c r="C332" s="8">
        <v>10</v>
      </c>
      <c r="D332" s="8" t="s">
        <v>175</v>
      </c>
      <c r="E332" s="8" t="s">
        <v>348</v>
      </c>
      <c r="F332" t="s">
        <v>283</v>
      </c>
      <c r="G332" t="s">
        <v>284</v>
      </c>
      <c r="H332" s="4">
        <v>1.31</v>
      </c>
      <c r="I332" t="str">
        <f t="shared" si="5"/>
        <v>Paralonchurus braziliensisBanded croaker</v>
      </c>
    </row>
    <row r="333" spans="1:9" x14ac:dyDescent="0.35">
      <c r="A333" s="8">
        <v>18</v>
      </c>
      <c r="B333" s="8">
        <v>2016</v>
      </c>
      <c r="C333" s="8">
        <v>10</v>
      </c>
      <c r="D333" s="8" t="s">
        <v>175</v>
      </c>
      <c r="E333" s="8" t="s">
        <v>348</v>
      </c>
      <c r="F333" t="s">
        <v>15</v>
      </c>
      <c r="G333" t="s">
        <v>16</v>
      </c>
      <c r="H333" s="4">
        <v>35.200000000000003</v>
      </c>
      <c r="I333" t="str">
        <f t="shared" si="5"/>
        <v>Nebris micropsButterfish</v>
      </c>
    </row>
    <row r="334" spans="1:9" x14ac:dyDescent="0.35">
      <c r="A334" s="8">
        <v>18</v>
      </c>
      <c r="B334" s="8">
        <v>2016</v>
      </c>
      <c r="C334" s="8">
        <v>10</v>
      </c>
      <c r="D334" s="8" t="s">
        <v>175</v>
      </c>
      <c r="E334" s="8" t="s">
        <v>348</v>
      </c>
      <c r="F334" t="s">
        <v>42</v>
      </c>
      <c r="G334" t="s">
        <v>126</v>
      </c>
      <c r="H334" s="4">
        <v>0.5</v>
      </c>
      <c r="I334" t="str">
        <f t="shared" si="5"/>
        <v>Paralonchurus  elegansChinese Butterfish</v>
      </c>
    </row>
    <row r="335" spans="1:9" x14ac:dyDescent="0.35">
      <c r="A335" s="8">
        <v>18</v>
      </c>
      <c r="B335" s="8">
        <v>2016</v>
      </c>
      <c r="C335" s="8">
        <v>10</v>
      </c>
      <c r="D335" s="8" t="s">
        <v>175</v>
      </c>
      <c r="E335" s="8" t="s">
        <v>348</v>
      </c>
      <c r="F335" t="s">
        <v>39</v>
      </c>
      <c r="G335" t="s">
        <v>38</v>
      </c>
      <c r="H335" s="4">
        <v>0.21</v>
      </c>
      <c r="I335" t="str">
        <f t="shared" si="5"/>
        <v>Colomesus psittacusBanded Puffer</v>
      </c>
    </row>
    <row r="336" spans="1:9" x14ac:dyDescent="0.35">
      <c r="A336" s="8">
        <v>18</v>
      </c>
      <c r="B336" s="8">
        <v>2016</v>
      </c>
      <c r="C336" s="8">
        <v>10</v>
      </c>
      <c r="D336" s="8" t="s">
        <v>175</v>
      </c>
      <c r="E336" s="8" t="s">
        <v>348</v>
      </c>
      <c r="F336" t="s">
        <v>111</v>
      </c>
      <c r="G336" t="s">
        <v>109</v>
      </c>
      <c r="H336" s="4">
        <v>0.2</v>
      </c>
      <c r="I336" t="str">
        <f t="shared" si="5"/>
        <v>Micropogonias furnieriBashaw</v>
      </c>
    </row>
    <row r="337" spans="1:9" x14ac:dyDescent="0.35">
      <c r="A337" s="8">
        <v>18</v>
      </c>
      <c r="B337" s="8">
        <v>2016</v>
      </c>
      <c r="C337" s="8">
        <v>10</v>
      </c>
      <c r="D337" s="8" t="s">
        <v>175</v>
      </c>
      <c r="E337" s="8" t="s">
        <v>348</v>
      </c>
      <c r="F337" t="s">
        <v>127</v>
      </c>
      <c r="G337" t="s">
        <v>128</v>
      </c>
      <c r="H337" s="4">
        <v>0.27</v>
      </c>
      <c r="I337" t="str">
        <f t="shared" si="5"/>
        <v>Pseuduchenipterus nodosusSweetman</v>
      </c>
    </row>
    <row r="338" spans="1:9" x14ac:dyDescent="0.35">
      <c r="A338" s="8">
        <v>18</v>
      </c>
      <c r="B338" s="8">
        <v>2016</v>
      </c>
      <c r="C338" s="8">
        <v>10</v>
      </c>
      <c r="D338" s="8" t="s">
        <v>175</v>
      </c>
      <c r="E338" s="8" t="s">
        <v>348</v>
      </c>
      <c r="F338" t="s">
        <v>21</v>
      </c>
      <c r="G338" t="s">
        <v>59</v>
      </c>
      <c r="H338" s="4">
        <v>30.800000000000004</v>
      </c>
      <c r="I338" t="str">
        <f t="shared" si="5"/>
        <v>Stellifer micropsRockhead</v>
      </c>
    </row>
    <row r="339" spans="1:9" x14ac:dyDescent="0.35">
      <c r="A339" s="8">
        <v>18</v>
      </c>
      <c r="B339" s="8">
        <v>2016</v>
      </c>
      <c r="C339" s="8">
        <v>10</v>
      </c>
      <c r="D339" s="8" t="s">
        <v>175</v>
      </c>
      <c r="E339" s="8" t="s">
        <v>348</v>
      </c>
      <c r="F339" t="s">
        <v>58</v>
      </c>
      <c r="G339" t="s">
        <v>59</v>
      </c>
      <c r="H339" s="4">
        <v>27.500000000000004</v>
      </c>
      <c r="I339" t="str">
        <f t="shared" si="5"/>
        <v>Stellifer rastriferRockhead</v>
      </c>
    </row>
    <row r="340" spans="1:9" x14ac:dyDescent="0.35">
      <c r="A340" s="8">
        <v>18</v>
      </c>
      <c r="B340" s="8">
        <v>2016</v>
      </c>
      <c r="C340" s="8">
        <v>10</v>
      </c>
      <c r="D340" s="8" t="s">
        <v>175</v>
      </c>
      <c r="E340" s="8" t="s">
        <v>348</v>
      </c>
      <c r="F340" t="s">
        <v>121</v>
      </c>
      <c r="G340" t="s">
        <v>44</v>
      </c>
      <c r="H340" s="4">
        <v>0.04</v>
      </c>
      <c r="I340" t="str">
        <f t="shared" si="5"/>
        <v>Anchoa mitchilliNegli</v>
      </c>
    </row>
    <row r="341" spans="1:9" x14ac:dyDescent="0.35">
      <c r="A341" s="8">
        <v>18</v>
      </c>
      <c r="B341" s="8">
        <v>2016</v>
      </c>
      <c r="C341" s="8">
        <v>10</v>
      </c>
      <c r="D341" s="8" t="s">
        <v>175</v>
      </c>
      <c r="E341" s="8" t="s">
        <v>348</v>
      </c>
      <c r="F341" t="s">
        <v>85</v>
      </c>
      <c r="G341" t="s">
        <v>86</v>
      </c>
      <c r="H341" s="4">
        <v>0.08</v>
      </c>
      <c r="I341" t="str">
        <f t="shared" si="5"/>
        <v>Squilla mantisMantis Shrimp</v>
      </c>
    </row>
    <row r="342" spans="1:9" x14ac:dyDescent="0.35">
      <c r="A342" s="8">
        <v>18</v>
      </c>
      <c r="B342" s="8">
        <v>2016</v>
      </c>
      <c r="C342" s="8">
        <v>10</v>
      </c>
      <c r="D342" s="8" t="s">
        <v>175</v>
      </c>
      <c r="E342" s="8" t="s">
        <v>348</v>
      </c>
      <c r="F342" t="s">
        <v>17</v>
      </c>
      <c r="G342" t="s">
        <v>34</v>
      </c>
      <c r="H342" s="4">
        <v>1.67</v>
      </c>
      <c r="I342" t="str">
        <f t="shared" si="5"/>
        <v>Larimus brevicepsSilver Snapper</v>
      </c>
    </row>
    <row r="343" spans="1:9" x14ac:dyDescent="0.35">
      <c r="A343" s="8">
        <v>18</v>
      </c>
      <c r="B343" s="8">
        <v>2016</v>
      </c>
      <c r="C343" s="8">
        <v>10</v>
      </c>
      <c r="D343" s="8" t="s">
        <v>175</v>
      </c>
      <c r="E343" s="8" t="s">
        <v>348</v>
      </c>
      <c r="F343" t="s">
        <v>43</v>
      </c>
      <c r="G343" t="s">
        <v>57</v>
      </c>
      <c r="H343" s="4">
        <v>4.62</v>
      </c>
      <c r="I343" t="str">
        <f t="shared" si="5"/>
        <v>Cynoscion virescensSeatrout</v>
      </c>
    </row>
    <row r="344" spans="1:9" x14ac:dyDescent="0.35">
      <c r="A344" s="8">
        <v>18</v>
      </c>
      <c r="B344" s="8">
        <v>2016</v>
      </c>
      <c r="C344" s="8">
        <v>10</v>
      </c>
      <c r="D344" s="8" t="s">
        <v>175</v>
      </c>
      <c r="E344" s="8" t="s">
        <v>348</v>
      </c>
      <c r="F344" t="s">
        <v>50</v>
      </c>
      <c r="G344" t="s">
        <v>56</v>
      </c>
      <c r="H344" s="4">
        <v>0.23</v>
      </c>
      <c r="I344" t="str">
        <f t="shared" si="5"/>
        <v>Trichiurus lepturusSilverbelt</v>
      </c>
    </row>
    <row r="345" spans="1:9" x14ac:dyDescent="0.35">
      <c r="A345" s="8">
        <v>18</v>
      </c>
      <c r="B345" s="8">
        <v>2016</v>
      </c>
      <c r="C345" s="8">
        <v>10</v>
      </c>
      <c r="D345" s="8" t="s">
        <v>175</v>
      </c>
      <c r="E345" s="8" t="s">
        <v>348</v>
      </c>
      <c r="F345" t="s">
        <v>88</v>
      </c>
      <c r="G345" t="s">
        <v>87</v>
      </c>
      <c r="H345" s="4">
        <v>0.02</v>
      </c>
      <c r="I345" t="str">
        <f t="shared" si="5"/>
        <v>Diodon holacanthusSpiky Puffer</v>
      </c>
    </row>
    <row r="346" spans="1:9" x14ac:dyDescent="0.35">
      <c r="A346" s="8">
        <v>18</v>
      </c>
      <c r="B346" s="8">
        <v>2016</v>
      </c>
      <c r="C346" s="8">
        <v>10</v>
      </c>
      <c r="D346" s="8" t="s">
        <v>175</v>
      </c>
      <c r="E346" s="8" t="s">
        <v>348</v>
      </c>
      <c r="F346" t="s">
        <v>122</v>
      </c>
      <c r="G346" t="s">
        <v>53</v>
      </c>
      <c r="H346" s="4">
        <v>0.09</v>
      </c>
      <c r="I346" t="str">
        <f t="shared" si="5"/>
        <v>Pellona harroweriRiver Pellona</v>
      </c>
    </row>
    <row r="347" spans="1:9" x14ac:dyDescent="0.35">
      <c r="A347" s="8">
        <v>19</v>
      </c>
      <c r="B347" s="8">
        <v>2016</v>
      </c>
      <c r="C347" s="8">
        <v>10</v>
      </c>
      <c r="D347" s="8" t="s">
        <v>174</v>
      </c>
      <c r="E347" s="8" t="s">
        <v>348</v>
      </c>
      <c r="F347" t="s">
        <v>1</v>
      </c>
      <c r="G347" t="s">
        <v>291</v>
      </c>
      <c r="H347" s="4">
        <v>9.0793650793650791</v>
      </c>
      <c r="I347" t="str">
        <f t="shared" si="5"/>
        <v>Dastyis guttataLongnose stingray</v>
      </c>
    </row>
    <row r="348" spans="1:9" x14ac:dyDescent="0.35">
      <c r="A348" s="8">
        <v>19</v>
      </c>
      <c r="B348" s="8">
        <v>2016</v>
      </c>
      <c r="C348" s="8">
        <v>10</v>
      </c>
      <c r="D348" s="8" t="s">
        <v>174</v>
      </c>
      <c r="E348" s="8" t="s">
        <v>348</v>
      </c>
      <c r="F348" t="s">
        <v>2</v>
      </c>
      <c r="G348" t="s">
        <v>307</v>
      </c>
      <c r="H348" s="4">
        <v>0.45396825396825397</v>
      </c>
      <c r="I348" t="str">
        <f t="shared" si="5"/>
        <v>Gymnura micruraButterfly stingray</v>
      </c>
    </row>
    <row r="349" spans="1:9" x14ac:dyDescent="0.35">
      <c r="A349" s="8">
        <v>19</v>
      </c>
      <c r="B349" s="8">
        <v>2016</v>
      </c>
      <c r="C349" s="8">
        <v>10</v>
      </c>
      <c r="D349" s="8" t="s">
        <v>174</v>
      </c>
      <c r="E349" s="8" t="s">
        <v>348</v>
      </c>
      <c r="F349" t="s">
        <v>40</v>
      </c>
      <c r="G349" t="s">
        <v>35</v>
      </c>
      <c r="H349" s="4">
        <v>79.444444444444443</v>
      </c>
      <c r="I349" t="str">
        <f t="shared" si="5"/>
        <v>Macrodon ancylodonBangamary</v>
      </c>
    </row>
    <row r="350" spans="1:9" x14ac:dyDescent="0.35">
      <c r="A350" s="8">
        <v>19</v>
      </c>
      <c r="B350" s="8">
        <v>2016</v>
      </c>
      <c r="C350" s="8">
        <v>10</v>
      </c>
      <c r="D350" s="8" t="s">
        <v>174</v>
      </c>
      <c r="E350" s="8" t="s">
        <v>348</v>
      </c>
      <c r="F350" t="s">
        <v>283</v>
      </c>
      <c r="G350" t="s">
        <v>284</v>
      </c>
      <c r="H350" s="4">
        <v>2.4968253968253968</v>
      </c>
      <c r="I350" t="str">
        <f t="shared" si="5"/>
        <v>Paralonchurus braziliensisBanded croaker</v>
      </c>
    </row>
    <row r="351" spans="1:9" x14ac:dyDescent="0.35">
      <c r="A351" s="8">
        <v>19</v>
      </c>
      <c r="B351" s="8">
        <v>2016</v>
      </c>
      <c r="C351" s="8">
        <v>10</v>
      </c>
      <c r="D351" s="8" t="s">
        <v>174</v>
      </c>
      <c r="E351" s="8" t="s">
        <v>348</v>
      </c>
      <c r="F351" t="s">
        <v>15</v>
      </c>
      <c r="G351" t="s">
        <v>16</v>
      </c>
      <c r="H351" s="4">
        <v>27.238095238095237</v>
      </c>
      <c r="I351" t="str">
        <f t="shared" si="5"/>
        <v>Nebris micropsButterfish</v>
      </c>
    </row>
    <row r="352" spans="1:9" x14ac:dyDescent="0.35">
      <c r="A352" s="8">
        <v>19</v>
      </c>
      <c r="B352" s="8">
        <v>2016</v>
      </c>
      <c r="C352" s="8">
        <v>10</v>
      </c>
      <c r="D352" s="8" t="s">
        <v>174</v>
      </c>
      <c r="E352" s="8" t="s">
        <v>348</v>
      </c>
      <c r="F352" t="s">
        <v>21</v>
      </c>
      <c r="G352" t="s">
        <v>59</v>
      </c>
      <c r="H352" s="4">
        <v>12.711111111111109</v>
      </c>
      <c r="I352" t="str">
        <f t="shared" si="5"/>
        <v>Stellifer micropsRockhead</v>
      </c>
    </row>
    <row r="353" spans="1:9" x14ac:dyDescent="0.35">
      <c r="A353" s="8">
        <v>19</v>
      </c>
      <c r="B353" s="8">
        <v>2016</v>
      </c>
      <c r="C353" s="8">
        <v>10</v>
      </c>
      <c r="D353" s="8" t="s">
        <v>174</v>
      </c>
      <c r="E353" s="8" t="s">
        <v>348</v>
      </c>
      <c r="F353" t="s">
        <v>58</v>
      </c>
      <c r="G353" t="s">
        <v>59</v>
      </c>
      <c r="H353" s="4">
        <v>5.674603174603174</v>
      </c>
      <c r="I353" t="str">
        <f t="shared" si="5"/>
        <v>Stellifer rastriferRockhead</v>
      </c>
    </row>
    <row r="354" spans="1:9" x14ac:dyDescent="0.35">
      <c r="A354" s="8">
        <v>19</v>
      </c>
      <c r="B354" s="8">
        <v>2016</v>
      </c>
      <c r="C354" s="8">
        <v>10</v>
      </c>
      <c r="D354" s="8" t="s">
        <v>174</v>
      </c>
      <c r="E354" s="8" t="s">
        <v>348</v>
      </c>
      <c r="F354" t="s">
        <v>43</v>
      </c>
      <c r="G354" t="s">
        <v>57</v>
      </c>
      <c r="H354" s="4">
        <v>5.4476190476190478</v>
      </c>
      <c r="I354" t="str">
        <f t="shared" si="5"/>
        <v>Cynoscion virescensSeatrout</v>
      </c>
    </row>
    <row r="355" spans="1:9" x14ac:dyDescent="0.35">
      <c r="A355" s="8">
        <v>19</v>
      </c>
      <c r="B355" s="8">
        <v>2016</v>
      </c>
      <c r="C355" s="8">
        <v>10</v>
      </c>
      <c r="D355" s="8" t="s">
        <v>174</v>
      </c>
      <c r="E355" s="8" t="s">
        <v>348</v>
      </c>
      <c r="F355" t="s">
        <v>50</v>
      </c>
      <c r="G355" t="s">
        <v>56</v>
      </c>
      <c r="H355" s="4">
        <v>0.22698412698412698</v>
      </c>
      <c r="I355" t="str">
        <f t="shared" si="5"/>
        <v>Trichiurus lepturusSilverbelt</v>
      </c>
    </row>
    <row r="356" spans="1:9" x14ac:dyDescent="0.35">
      <c r="A356" s="8">
        <v>20</v>
      </c>
      <c r="B356" s="8">
        <v>2016</v>
      </c>
      <c r="C356" s="8">
        <v>11</v>
      </c>
      <c r="D356" s="8" t="s">
        <v>173</v>
      </c>
      <c r="E356" s="8" t="s">
        <v>348</v>
      </c>
      <c r="F356" t="s">
        <v>1</v>
      </c>
      <c r="G356" t="s">
        <v>291</v>
      </c>
      <c r="H356" s="4">
        <v>2</v>
      </c>
      <c r="I356" t="str">
        <f t="shared" si="5"/>
        <v>Dastyis guttataLongnose stingray</v>
      </c>
    </row>
    <row r="357" spans="1:9" x14ac:dyDescent="0.35">
      <c r="A357" s="8">
        <v>20</v>
      </c>
      <c r="B357" s="8">
        <v>2016</v>
      </c>
      <c r="C357" s="8">
        <v>11</v>
      </c>
      <c r="D357" s="8" t="s">
        <v>173</v>
      </c>
      <c r="E357" s="8" t="s">
        <v>348</v>
      </c>
      <c r="F357" t="s">
        <v>2</v>
      </c>
      <c r="G357" t="s">
        <v>307</v>
      </c>
      <c r="H357" s="4">
        <v>20</v>
      </c>
      <c r="I357" t="str">
        <f t="shared" si="5"/>
        <v>Gymnura micruraButterfly stingray</v>
      </c>
    </row>
    <row r="358" spans="1:9" x14ac:dyDescent="0.35">
      <c r="A358" s="8">
        <v>20</v>
      </c>
      <c r="B358" s="8">
        <v>2016</v>
      </c>
      <c r="C358" s="8">
        <v>11</v>
      </c>
      <c r="D358" s="8" t="s">
        <v>173</v>
      </c>
      <c r="E358" s="8" t="s">
        <v>348</v>
      </c>
      <c r="F358" t="s">
        <v>17</v>
      </c>
      <c r="G358" t="s">
        <v>34</v>
      </c>
      <c r="H358" s="4">
        <v>20</v>
      </c>
      <c r="I358" t="str">
        <f t="shared" si="5"/>
        <v>Larimus brevicepsSilver Snapper</v>
      </c>
    </row>
    <row r="359" spans="1:9" x14ac:dyDescent="0.35">
      <c r="A359" s="8">
        <v>20</v>
      </c>
      <c r="B359" s="8">
        <v>2016</v>
      </c>
      <c r="C359" s="8">
        <v>11</v>
      </c>
      <c r="D359" s="8" t="s">
        <v>173</v>
      </c>
      <c r="E359" s="8" t="s">
        <v>348</v>
      </c>
      <c r="F359" t="s">
        <v>43</v>
      </c>
      <c r="G359" t="s">
        <v>57</v>
      </c>
      <c r="H359" s="4">
        <v>2</v>
      </c>
      <c r="I359" t="str">
        <f t="shared" si="5"/>
        <v>Cynoscion virescensSeatrout</v>
      </c>
    </row>
    <row r="360" spans="1:9" x14ac:dyDescent="0.35">
      <c r="A360" s="8">
        <v>21</v>
      </c>
      <c r="B360" s="8">
        <v>2016</v>
      </c>
      <c r="C360" s="8">
        <v>12</v>
      </c>
      <c r="D360" s="8" t="s">
        <v>175</v>
      </c>
      <c r="E360" s="8" t="s">
        <v>348</v>
      </c>
      <c r="F360" t="s">
        <v>5</v>
      </c>
      <c r="G360" t="s">
        <v>4</v>
      </c>
      <c r="H360" s="4">
        <v>3.1753031973539136</v>
      </c>
      <c r="I360" t="str">
        <f t="shared" si="5"/>
        <v>Bagre bagreCatfish</v>
      </c>
    </row>
    <row r="361" spans="1:9" x14ac:dyDescent="0.35">
      <c r="A361" s="8">
        <v>21</v>
      </c>
      <c r="B361" s="8">
        <v>2016</v>
      </c>
      <c r="C361" s="8">
        <v>12</v>
      </c>
      <c r="D361" s="8" t="s">
        <v>175</v>
      </c>
      <c r="E361" s="8" t="s">
        <v>348</v>
      </c>
      <c r="F361" t="s">
        <v>6</v>
      </c>
      <c r="G361" t="s">
        <v>37</v>
      </c>
      <c r="H361" s="4">
        <v>1.5876515986769568</v>
      </c>
      <c r="I361" t="str">
        <f t="shared" si="5"/>
        <v>Symphurus plagusiaTongue fish</v>
      </c>
    </row>
    <row r="362" spans="1:9" x14ac:dyDescent="0.35">
      <c r="A362" s="8">
        <v>21</v>
      </c>
      <c r="B362" s="8">
        <v>2016</v>
      </c>
      <c r="C362" s="8">
        <v>12</v>
      </c>
      <c r="D362" s="8" t="s">
        <v>175</v>
      </c>
      <c r="E362" s="8" t="s">
        <v>348</v>
      </c>
      <c r="F362" t="s">
        <v>40</v>
      </c>
      <c r="G362" t="s">
        <v>35</v>
      </c>
      <c r="H362" s="4">
        <v>6.4829106945975745</v>
      </c>
      <c r="I362" t="str">
        <f t="shared" si="5"/>
        <v>Macrodon ancylodonBangamary</v>
      </c>
    </row>
    <row r="363" spans="1:9" x14ac:dyDescent="0.35">
      <c r="A363" s="8">
        <v>21</v>
      </c>
      <c r="B363" s="8">
        <v>2016</v>
      </c>
      <c r="C363" s="8">
        <v>12</v>
      </c>
      <c r="D363" s="8" t="s">
        <v>175</v>
      </c>
      <c r="E363" s="8" t="s">
        <v>348</v>
      </c>
      <c r="F363" t="s">
        <v>283</v>
      </c>
      <c r="G363" t="s">
        <v>284</v>
      </c>
      <c r="H363" s="4">
        <v>63.506063947078275</v>
      </c>
      <c r="I363" t="str">
        <f t="shared" si="5"/>
        <v>Paralonchurus braziliensisBanded croaker</v>
      </c>
    </row>
    <row r="364" spans="1:9" x14ac:dyDescent="0.35">
      <c r="A364" s="8">
        <v>21</v>
      </c>
      <c r="B364" s="8">
        <v>2016</v>
      </c>
      <c r="C364" s="8">
        <v>12</v>
      </c>
      <c r="D364" s="8" t="s">
        <v>175</v>
      </c>
      <c r="E364" s="8" t="s">
        <v>348</v>
      </c>
      <c r="F364" t="s">
        <v>15</v>
      </c>
      <c r="G364" t="s">
        <v>16</v>
      </c>
      <c r="H364" s="4">
        <v>10.584343991179713</v>
      </c>
      <c r="I364" t="str">
        <f t="shared" si="5"/>
        <v>Nebris micropsButterfish</v>
      </c>
    </row>
    <row r="365" spans="1:9" x14ac:dyDescent="0.35">
      <c r="A365" s="8">
        <v>21</v>
      </c>
      <c r="B365" s="8">
        <v>2016</v>
      </c>
      <c r="C365" s="8">
        <v>12</v>
      </c>
      <c r="D365" s="8" t="s">
        <v>175</v>
      </c>
      <c r="E365" s="8" t="s">
        <v>348</v>
      </c>
      <c r="F365" t="s">
        <v>39</v>
      </c>
      <c r="G365" t="s">
        <v>38</v>
      </c>
      <c r="H365" s="4">
        <v>1.8522601984564495</v>
      </c>
      <c r="I365" t="str">
        <f t="shared" si="5"/>
        <v>Colomesus psittacusBanded Puffer</v>
      </c>
    </row>
    <row r="366" spans="1:9" x14ac:dyDescent="0.35">
      <c r="A366" s="8">
        <v>21</v>
      </c>
      <c r="B366" s="8">
        <v>2016</v>
      </c>
      <c r="C366" s="8">
        <v>12</v>
      </c>
      <c r="D366" s="8" t="s">
        <v>175</v>
      </c>
      <c r="E366" s="8" t="s">
        <v>348</v>
      </c>
      <c r="F366" t="s">
        <v>21</v>
      </c>
      <c r="G366" t="s">
        <v>59</v>
      </c>
      <c r="H366" s="4">
        <v>21.168687982359426</v>
      </c>
      <c r="I366" t="str">
        <f t="shared" si="5"/>
        <v>Stellifer micropsRockhead</v>
      </c>
    </row>
    <row r="367" spans="1:9" x14ac:dyDescent="0.35">
      <c r="A367" s="8">
        <v>21</v>
      </c>
      <c r="B367" s="8">
        <v>2016</v>
      </c>
      <c r="C367" s="8">
        <v>12</v>
      </c>
      <c r="D367" s="8" t="s">
        <v>175</v>
      </c>
      <c r="E367" s="8" t="s">
        <v>348</v>
      </c>
      <c r="F367" t="s">
        <v>63</v>
      </c>
      <c r="G367" t="s">
        <v>62</v>
      </c>
      <c r="H367" s="4">
        <v>1.3230429988974641</v>
      </c>
      <c r="I367" t="str">
        <f t="shared" si="5"/>
        <v>Selene browniMoonfish</v>
      </c>
    </row>
    <row r="368" spans="1:9" x14ac:dyDescent="0.35">
      <c r="A368" s="8">
        <v>21</v>
      </c>
      <c r="B368" s="8">
        <v>2016</v>
      </c>
      <c r="C368" s="8">
        <v>12</v>
      </c>
      <c r="D368" s="8" t="s">
        <v>175</v>
      </c>
      <c r="E368" s="8" t="s">
        <v>348</v>
      </c>
      <c r="F368" t="s">
        <v>121</v>
      </c>
      <c r="G368" t="s">
        <v>44</v>
      </c>
      <c r="H368" s="4">
        <v>1.5876515986769568</v>
      </c>
      <c r="I368" t="str">
        <f t="shared" si="5"/>
        <v>Anchoa mitchilliNegli</v>
      </c>
    </row>
    <row r="369" spans="1:9" x14ac:dyDescent="0.35">
      <c r="A369" s="8">
        <v>21</v>
      </c>
      <c r="B369" s="8">
        <v>2016</v>
      </c>
      <c r="C369" s="8">
        <v>12</v>
      </c>
      <c r="D369" s="8" t="s">
        <v>175</v>
      </c>
      <c r="E369" s="8" t="s">
        <v>348</v>
      </c>
      <c r="F369" t="s">
        <v>50</v>
      </c>
      <c r="G369" t="s">
        <v>56</v>
      </c>
      <c r="H369" s="4">
        <v>4.7629547960308711</v>
      </c>
      <c r="I369" t="str">
        <f t="shared" si="5"/>
        <v>Trichiurus lepturusSilverbelt</v>
      </c>
    </row>
    <row r="370" spans="1:9" x14ac:dyDescent="0.35">
      <c r="A370" s="8">
        <v>21</v>
      </c>
      <c r="B370" s="8">
        <v>2016</v>
      </c>
      <c r="C370" s="8">
        <v>12</v>
      </c>
      <c r="D370" s="8" t="s">
        <v>175</v>
      </c>
      <c r="E370" s="8" t="s">
        <v>348</v>
      </c>
      <c r="F370" t="s">
        <v>41</v>
      </c>
      <c r="G370" t="s">
        <v>10</v>
      </c>
      <c r="H370" s="4">
        <v>3.9691289966923922</v>
      </c>
      <c r="I370" t="str">
        <f t="shared" si="5"/>
        <v>Chaetodipterus faberSea Donkey</v>
      </c>
    </row>
    <row r="371" spans="1:9" x14ac:dyDescent="0.35">
      <c r="A371" s="8">
        <v>22</v>
      </c>
      <c r="B371" s="8">
        <v>2017</v>
      </c>
      <c r="C371" s="8">
        <v>1</v>
      </c>
      <c r="D371" s="8" t="s">
        <v>176</v>
      </c>
      <c r="E371" s="8" t="s">
        <v>348</v>
      </c>
      <c r="F371" t="s">
        <v>352</v>
      </c>
      <c r="G371" t="s">
        <v>0</v>
      </c>
      <c r="H371" s="4">
        <v>2.4005681818181821</v>
      </c>
      <c r="I371" t="str">
        <f t="shared" si="5"/>
        <v>Narcine brasiliensisBrazilian Electric Ray</v>
      </c>
    </row>
    <row r="372" spans="1:9" x14ac:dyDescent="0.35">
      <c r="A372" s="8">
        <v>22</v>
      </c>
      <c r="B372" s="8">
        <v>2017</v>
      </c>
      <c r="C372" s="8">
        <v>1</v>
      </c>
      <c r="D372" s="8" t="s">
        <v>176</v>
      </c>
      <c r="E372" s="8" t="s">
        <v>348</v>
      </c>
      <c r="F372" t="s">
        <v>40</v>
      </c>
      <c r="G372" t="s">
        <v>35</v>
      </c>
      <c r="H372" s="4">
        <v>24.00568181818182</v>
      </c>
      <c r="I372" t="str">
        <f t="shared" si="5"/>
        <v>Macrodon ancylodonBangamary</v>
      </c>
    </row>
    <row r="373" spans="1:9" x14ac:dyDescent="0.35">
      <c r="A373" s="8">
        <v>22</v>
      </c>
      <c r="B373" s="8">
        <v>2017</v>
      </c>
      <c r="C373" s="8">
        <v>1</v>
      </c>
      <c r="D373" s="8" t="s">
        <v>176</v>
      </c>
      <c r="E373" s="8" t="s">
        <v>348</v>
      </c>
      <c r="F373" t="s">
        <v>283</v>
      </c>
      <c r="G373" t="s">
        <v>284</v>
      </c>
      <c r="H373" s="4">
        <v>4.8011363636363642</v>
      </c>
      <c r="I373" t="str">
        <f t="shared" si="5"/>
        <v>Paralonchurus braziliensisBanded croaker</v>
      </c>
    </row>
    <row r="374" spans="1:9" x14ac:dyDescent="0.35">
      <c r="A374" s="8">
        <v>22</v>
      </c>
      <c r="B374" s="8">
        <v>2017</v>
      </c>
      <c r="C374" s="8">
        <v>1</v>
      </c>
      <c r="D374" s="8" t="s">
        <v>176</v>
      </c>
      <c r="E374" s="8" t="s">
        <v>348</v>
      </c>
      <c r="F374" t="s">
        <v>15</v>
      </c>
      <c r="G374" t="s">
        <v>16</v>
      </c>
      <c r="H374" s="4">
        <v>12.00284090909091</v>
      </c>
      <c r="I374" t="str">
        <f t="shared" si="5"/>
        <v>Nebris micropsButterfish</v>
      </c>
    </row>
    <row r="375" spans="1:9" x14ac:dyDescent="0.35">
      <c r="A375" s="8">
        <v>22</v>
      </c>
      <c r="B375" s="8">
        <v>2017</v>
      </c>
      <c r="C375" s="8">
        <v>1</v>
      </c>
      <c r="D375" s="8" t="s">
        <v>176</v>
      </c>
      <c r="E375" s="8" t="s">
        <v>348</v>
      </c>
      <c r="F375" t="s">
        <v>21</v>
      </c>
      <c r="G375" t="s">
        <v>59</v>
      </c>
      <c r="H375" s="4">
        <v>48.01136363636364</v>
      </c>
      <c r="I375" t="str">
        <f t="shared" si="5"/>
        <v>Stellifer micropsRockhead</v>
      </c>
    </row>
    <row r="376" spans="1:9" x14ac:dyDescent="0.35">
      <c r="A376" s="8">
        <v>22</v>
      </c>
      <c r="B376" s="8">
        <v>2017</v>
      </c>
      <c r="C376" s="8">
        <v>1</v>
      </c>
      <c r="D376" s="8" t="s">
        <v>176</v>
      </c>
      <c r="E376" s="8" t="s">
        <v>348</v>
      </c>
      <c r="F376" t="s">
        <v>121</v>
      </c>
      <c r="G376" t="s">
        <v>44</v>
      </c>
      <c r="H376" s="4">
        <v>12.00284090909091</v>
      </c>
      <c r="I376" t="str">
        <f t="shared" si="5"/>
        <v>Anchoa mitchilliNegli</v>
      </c>
    </row>
    <row r="377" spans="1:9" x14ac:dyDescent="0.35">
      <c r="A377" s="8">
        <v>22</v>
      </c>
      <c r="B377" s="8">
        <v>2017</v>
      </c>
      <c r="C377" s="8">
        <v>1</v>
      </c>
      <c r="D377" s="8" t="s">
        <v>176</v>
      </c>
      <c r="E377" s="8" t="s">
        <v>348</v>
      </c>
      <c r="F377" t="s">
        <v>18</v>
      </c>
      <c r="G377" t="s">
        <v>81</v>
      </c>
      <c r="H377" s="4">
        <v>1.2002840909090911</v>
      </c>
      <c r="I377" t="str">
        <f t="shared" si="5"/>
        <v>Genyatremus leteusAnnafolk</v>
      </c>
    </row>
    <row r="378" spans="1:9" x14ac:dyDescent="0.35">
      <c r="A378" s="8">
        <v>22</v>
      </c>
      <c r="B378" s="8">
        <v>2017</v>
      </c>
      <c r="C378" s="8">
        <v>1</v>
      </c>
      <c r="D378" s="8" t="s">
        <v>176</v>
      </c>
      <c r="E378" s="8" t="s">
        <v>348</v>
      </c>
      <c r="F378" t="s">
        <v>39</v>
      </c>
      <c r="G378" t="s">
        <v>38</v>
      </c>
      <c r="H378" s="4">
        <v>0.96022727272727293</v>
      </c>
      <c r="I378" t="str">
        <f t="shared" si="5"/>
        <v>Colomesus psittacusBanded Puffer</v>
      </c>
    </row>
    <row r="379" spans="1:9" x14ac:dyDescent="0.35">
      <c r="A379" s="8">
        <v>22</v>
      </c>
      <c r="B379" s="8">
        <v>2017</v>
      </c>
      <c r="C379" s="8">
        <v>1</v>
      </c>
      <c r="D379" s="8" t="s">
        <v>176</v>
      </c>
      <c r="E379" s="8" t="s">
        <v>348</v>
      </c>
      <c r="F379" t="s">
        <v>43</v>
      </c>
      <c r="G379" t="s">
        <v>57</v>
      </c>
      <c r="H379" s="4">
        <v>12.00284090909091</v>
      </c>
      <c r="I379" t="str">
        <f t="shared" si="5"/>
        <v>Cynoscion virescensSeatrout</v>
      </c>
    </row>
    <row r="380" spans="1:9" x14ac:dyDescent="0.35">
      <c r="A380" s="8">
        <v>22</v>
      </c>
      <c r="B380" s="8">
        <v>2017</v>
      </c>
      <c r="C380" s="8">
        <v>1</v>
      </c>
      <c r="D380" s="8" t="s">
        <v>176</v>
      </c>
      <c r="E380" s="8" t="s">
        <v>348</v>
      </c>
      <c r="F380" t="s">
        <v>50</v>
      </c>
      <c r="G380" t="s">
        <v>56</v>
      </c>
      <c r="H380" s="4">
        <v>48.01136363636364</v>
      </c>
      <c r="I380" t="str">
        <f t="shared" si="5"/>
        <v>Trichiurus lepturusSilverbelt</v>
      </c>
    </row>
    <row r="381" spans="1:9" x14ac:dyDescent="0.35">
      <c r="A381" s="8">
        <v>22</v>
      </c>
      <c r="B381" s="8">
        <v>2017</v>
      </c>
      <c r="C381" s="8">
        <v>1</v>
      </c>
      <c r="D381" s="8" t="s">
        <v>176</v>
      </c>
      <c r="E381" s="8" t="s">
        <v>348</v>
      </c>
      <c r="F381" t="s">
        <v>122</v>
      </c>
      <c r="G381" t="s">
        <v>53</v>
      </c>
      <c r="H381" s="4">
        <v>3.6008522727272729</v>
      </c>
      <c r="I381" t="str">
        <f t="shared" si="5"/>
        <v>Pellona harroweriRiver Pellona</v>
      </c>
    </row>
    <row r="382" spans="1:9" x14ac:dyDescent="0.35">
      <c r="A382" s="8">
        <v>23</v>
      </c>
      <c r="B382" s="8">
        <v>2017</v>
      </c>
      <c r="C382" s="8">
        <v>2</v>
      </c>
      <c r="D382" s="8" t="s">
        <v>175</v>
      </c>
      <c r="E382" s="8" t="s">
        <v>348</v>
      </c>
      <c r="F382" t="s">
        <v>1</v>
      </c>
      <c r="G382" t="s">
        <v>291</v>
      </c>
      <c r="H382" s="4">
        <v>5.8375732217573226</v>
      </c>
      <c r="I382" t="str">
        <f t="shared" si="5"/>
        <v>Dastyis guttataLongnose stingray</v>
      </c>
    </row>
    <row r="383" spans="1:9" x14ac:dyDescent="0.35">
      <c r="A383" s="8">
        <v>23</v>
      </c>
      <c r="B383" s="8">
        <v>2017</v>
      </c>
      <c r="C383" s="8">
        <v>2</v>
      </c>
      <c r="D383" s="8" t="s">
        <v>175</v>
      </c>
      <c r="E383" s="8" t="s">
        <v>348</v>
      </c>
      <c r="F383" t="s">
        <v>352</v>
      </c>
      <c r="G383" t="s">
        <v>0</v>
      </c>
      <c r="H383" s="4">
        <v>6.9288702928870294E-2</v>
      </c>
      <c r="I383" t="str">
        <f t="shared" si="5"/>
        <v>Narcine brasiliensisBrazilian Electric Ray</v>
      </c>
    </row>
    <row r="384" spans="1:9" x14ac:dyDescent="0.35">
      <c r="A384" s="8">
        <v>23</v>
      </c>
      <c r="B384" s="8">
        <v>2017</v>
      </c>
      <c r="C384" s="8">
        <v>2</v>
      </c>
      <c r="D384" s="8" t="s">
        <v>175</v>
      </c>
      <c r="E384" s="8" t="s">
        <v>348</v>
      </c>
      <c r="F384" t="s">
        <v>54</v>
      </c>
      <c r="G384" t="s">
        <v>55</v>
      </c>
      <c r="H384" s="4">
        <v>0.15589958158995815</v>
      </c>
      <c r="I384" t="str">
        <f t="shared" si="5"/>
        <v>Arius proopsCuirass</v>
      </c>
    </row>
    <row r="385" spans="1:9" x14ac:dyDescent="0.35">
      <c r="A385" s="8">
        <v>23</v>
      </c>
      <c r="B385" s="8">
        <v>2017</v>
      </c>
      <c r="C385" s="8">
        <v>2</v>
      </c>
      <c r="D385" s="8" t="s">
        <v>175</v>
      </c>
      <c r="E385" s="8" t="s">
        <v>348</v>
      </c>
      <c r="F385" t="s">
        <v>5</v>
      </c>
      <c r="G385" t="s">
        <v>4</v>
      </c>
      <c r="H385" s="4">
        <v>3.1006694560669459</v>
      </c>
      <c r="I385" t="str">
        <f t="shared" si="5"/>
        <v>Bagre bagreCatfish</v>
      </c>
    </row>
    <row r="386" spans="1:9" x14ac:dyDescent="0.35">
      <c r="A386" s="8">
        <v>23</v>
      </c>
      <c r="B386" s="8">
        <v>2017</v>
      </c>
      <c r="C386" s="8">
        <v>2</v>
      </c>
      <c r="D386" s="8" t="s">
        <v>175</v>
      </c>
      <c r="E386" s="8" t="s">
        <v>348</v>
      </c>
      <c r="F386" t="s">
        <v>6</v>
      </c>
      <c r="G386" t="s">
        <v>37</v>
      </c>
      <c r="H386" s="4">
        <v>2.0266945606694562</v>
      </c>
      <c r="I386" t="str">
        <f t="shared" si="5"/>
        <v>Symphurus plagusiaTongue fish</v>
      </c>
    </row>
    <row r="387" spans="1:9" x14ac:dyDescent="0.35">
      <c r="A387" s="8">
        <v>23</v>
      </c>
      <c r="B387" s="8">
        <v>2017</v>
      </c>
      <c r="C387" s="8">
        <v>2</v>
      </c>
      <c r="D387" s="8" t="s">
        <v>175</v>
      </c>
      <c r="E387" s="8" t="s">
        <v>348</v>
      </c>
      <c r="F387" t="s">
        <v>7</v>
      </c>
      <c r="G387" t="s">
        <v>8</v>
      </c>
      <c r="H387" s="4">
        <v>0.13857740585774059</v>
      </c>
      <c r="I387" t="str">
        <f t="shared" ref="I387:I450" si="6">CONCATENATE(F387,G387)</f>
        <v>Achirus achirusDrab Sole</v>
      </c>
    </row>
    <row r="388" spans="1:9" x14ac:dyDescent="0.35">
      <c r="A388" s="8">
        <v>23</v>
      </c>
      <c r="B388" s="8">
        <v>2017</v>
      </c>
      <c r="C388" s="8">
        <v>2</v>
      </c>
      <c r="D388" s="8" t="s">
        <v>175</v>
      </c>
      <c r="E388" s="8" t="s">
        <v>348</v>
      </c>
      <c r="F388" t="s">
        <v>40</v>
      </c>
      <c r="G388" t="s">
        <v>35</v>
      </c>
      <c r="H388" s="4">
        <v>15.589958158995817</v>
      </c>
      <c r="I388" t="str">
        <f t="shared" si="6"/>
        <v>Macrodon ancylodonBangamary</v>
      </c>
    </row>
    <row r="389" spans="1:9" x14ac:dyDescent="0.35">
      <c r="A389" s="8">
        <v>23</v>
      </c>
      <c r="B389" s="8">
        <v>2017</v>
      </c>
      <c r="C389" s="8">
        <v>2</v>
      </c>
      <c r="D389" s="8" t="s">
        <v>175</v>
      </c>
      <c r="E389" s="8" t="s">
        <v>348</v>
      </c>
      <c r="F389" t="s">
        <v>283</v>
      </c>
      <c r="G389" t="s">
        <v>284</v>
      </c>
      <c r="H389" s="4">
        <v>14.429372384937238</v>
      </c>
      <c r="I389" t="str">
        <f t="shared" si="6"/>
        <v>Paralonchurus braziliensisBanded croaker</v>
      </c>
    </row>
    <row r="390" spans="1:9" x14ac:dyDescent="0.35">
      <c r="A390" s="8">
        <v>23</v>
      </c>
      <c r="B390" s="8">
        <v>2017</v>
      </c>
      <c r="C390" s="8">
        <v>2</v>
      </c>
      <c r="D390" s="8" t="s">
        <v>175</v>
      </c>
      <c r="E390" s="8" t="s">
        <v>348</v>
      </c>
      <c r="F390" t="s">
        <v>15</v>
      </c>
      <c r="G390" t="s">
        <v>16</v>
      </c>
      <c r="H390" s="4">
        <v>15.589958158995817</v>
      </c>
      <c r="I390" t="str">
        <f t="shared" si="6"/>
        <v>Nebris micropsButterfish</v>
      </c>
    </row>
    <row r="391" spans="1:9" x14ac:dyDescent="0.35">
      <c r="A391" s="8">
        <v>23</v>
      </c>
      <c r="B391" s="8">
        <v>2017</v>
      </c>
      <c r="C391" s="8">
        <v>2</v>
      </c>
      <c r="D391" s="8" t="s">
        <v>175</v>
      </c>
      <c r="E391" s="8" t="s">
        <v>348</v>
      </c>
      <c r="F391" t="s">
        <v>63</v>
      </c>
      <c r="G391" t="s">
        <v>62</v>
      </c>
      <c r="H391" s="4">
        <v>0.31179916317991629</v>
      </c>
      <c r="I391" t="str">
        <f t="shared" si="6"/>
        <v>Selene browniMoonfish</v>
      </c>
    </row>
    <row r="392" spans="1:9" x14ac:dyDescent="0.35">
      <c r="A392" s="8">
        <v>23</v>
      </c>
      <c r="B392" s="8">
        <v>2017</v>
      </c>
      <c r="C392" s="8">
        <v>2</v>
      </c>
      <c r="D392" s="8" t="s">
        <v>175</v>
      </c>
      <c r="E392" s="8" t="s">
        <v>348</v>
      </c>
      <c r="F392" t="s">
        <v>41</v>
      </c>
      <c r="G392" t="s">
        <v>10</v>
      </c>
      <c r="H392" s="4">
        <v>3.3431799163179914</v>
      </c>
      <c r="I392" t="str">
        <f t="shared" si="6"/>
        <v>Chaetodipterus faberSea Donkey</v>
      </c>
    </row>
    <row r="393" spans="1:9" x14ac:dyDescent="0.35">
      <c r="A393" s="8">
        <v>23</v>
      </c>
      <c r="B393" s="8">
        <v>2017</v>
      </c>
      <c r="C393" s="8">
        <v>2</v>
      </c>
      <c r="D393" s="8" t="s">
        <v>175</v>
      </c>
      <c r="E393" s="8" t="s">
        <v>348</v>
      </c>
      <c r="F393" t="s">
        <v>21</v>
      </c>
      <c r="G393" t="s">
        <v>59</v>
      </c>
      <c r="H393" s="4">
        <v>6.9288702928870292</v>
      </c>
      <c r="I393" t="str">
        <f t="shared" si="6"/>
        <v>Stellifer micropsRockhead</v>
      </c>
    </row>
    <row r="394" spans="1:9" x14ac:dyDescent="0.35">
      <c r="A394" s="8">
        <v>23</v>
      </c>
      <c r="B394" s="8">
        <v>2017</v>
      </c>
      <c r="C394" s="8">
        <v>2</v>
      </c>
      <c r="D394" s="8" t="s">
        <v>175</v>
      </c>
      <c r="E394" s="8" t="s">
        <v>348</v>
      </c>
      <c r="F394" t="s">
        <v>58</v>
      </c>
      <c r="G394" t="s">
        <v>59</v>
      </c>
      <c r="H394" s="4">
        <v>65.824267782426773</v>
      </c>
      <c r="I394" t="str">
        <f t="shared" si="6"/>
        <v>Stellifer rastriferRockhead</v>
      </c>
    </row>
    <row r="395" spans="1:9" x14ac:dyDescent="0.35">
      <c r="A395" s="8">
        <v>23</v>
      </c>
      <c r="B395" s="8">
        <v>2017</v>
      </c>
      <c r="C395" s="8">
        <v>2</v>
      </c>
      <c r="D395" s="8" t="s">
        <v>175</v>
      </c>
      <c r="E395" s="8" t="s">
        <v>348</v>
      </c>
      <c r="F395" t="s">
        <v>121</v>
      </c>
      <c r="G395" t="s">
        <v>44</v>
      </c>
      <c r="H395" s="4">
        <v>0.53698744769874485</v>
      </c>
      <c r="I395" t="str">
        <f t="shared" si="6"/>
        <v>Anchoa mitchilliNegli</v>
      </c>
    </row>
    <row r="396" spans="1:9" x14ac:dyDescent="0.35">
      <c r="A396" s="8">
        <v>23</v>
      </c>
      <c r="B396" s="8">
        <v>2017</v>
      </c>
      <c r="C396" s="8">
        <v>2</v>
      </c>
      <c r="D396" s="8" t="s">
        <v>175</v>
      </c>
      <c r="E396" s="8" t="s">
        <v>348</v>
      </c>
      <c r="F396" t="s">
        <v>42</v>
      </c>
      <c r="G396" t="s">
        <v>126</v>
      </c>
      <c r="H396" s="4">
        <v>3.4644351464435146</v>
      </c>
      <c r="I396" t="str">
        <f t="shared" si="6"/>
        <v>Paralonchurus  elegansChinese Butterfish</v>
      </c>
    </row>
    <row r="397" spans="1:9" x14ac:dyDescent="0.35">
      <c r="A397" s="8">
        <v>23</v>
      </c>
      <c r="B397" s="8">
        <v>2017</v>
      </c>
      <c r="C397" s="8">
        <v>2</v>
      </c>
      <c r="D397" s="8" t="s">
        <v>175</v>
      </c>
      <c r="E397" s="8" t="s">
        <v>348</v>
      </c>
      <c r="F397" t="s">
        <v>119</v>
      </c>
      <c r="G397" t="s">
        <v>120</v>
      </c>
      <c r="H397" s="4">
        <v>3.4644351464435147E-2</v>
      </c>
      <c r="I397" t="str">
        <f t="shared" si="6"/>
        <v>Selene VomerLookdown</v>
      </c>
    </row>
    <row r="398" spans="1:9" x14ac:dyDescent="0.35">
      <c r="A398" s="8">
        <v>23</v>
      </c>
      <c r="B398" s="8">
        <v>2017</v>
      </c>
      <c r="C398" s="8">
        <v>2</v>
      </c>
      <c r="D398" s="8" t="s">
        <v>175</v>
      </c>
      <c r="E398" s="8" t="s">
        <v>348</v>
      </c>
      <c r="F398" t="s">
        <v>43</v>
      </c>
      <c r="G398" t="s">
        <v>57</v>
      </c>
      <c r="H398" s="4">
        <v>10.393305439330543</v>
      </c>
      <c r="I398" t="str">
        <f t="shared" si="6"/>
        <v>Cynoscion virescensSeatrout</v>
      </c>
    </row>
    <row r="399" spans="1:9" x14ac:dyDescent="0.35">
      <c r="A399" s="8">
        <v>23</v>
      </c>
      <c r="B399" s="8">
        <v>2017</v>
      </c>
      <c r="C399" s="8">
        <v>2</v>
      </c>
      <c r="D399" s="8" t="s">
        <v>175</v>
      </c>
      <c r="E399" s="8" t="s">
        <v>348</v>
      </c>
      <c r="F399" t="s">
        <v>50</v>
      </c>
      <c r="G399" t="s">
        <v>56</v>
      </c>
      <c r="H399" s="4">
        <v>0.74485355648535567</v>
      </c>
      <c r="I399" t="str">
        <f t="shared" si="6"/>
        <v>Trichiurus lepturusSilverbelt</v>
      </c>
    </row>
    <row r="400" spans="1:9" x14ac:dyDescent="0.35">
      <c r="A400" s="8">
        <v>23</v>
      </c>
      <c r="B400" s="8">
        <v>2017</v>
      </c>
      <c r="C400" s="8">
        <v>2</v>
      </c>
      <c r="D400" s="8" t="s">
        <v>175</v>
      </c>
      <c r="E400" s="8" t="s">
        <v>348</v>
      </c>
      <c r="F400" t="s">
        <v>116</v>
      </c>
      <c r="G400" t="s">
        <v>115</v>
      </c>
      <c r="H400" s="4">
        <v>0.41573221757322176</v>
      </c>
      <c r="I400" t="str">
        <f t="shared" si="6"/>
        <v>Anchoa spiniferSpecule Anchovy</v>
      </c>
    </row>
    <row r="401" spans="1:9" x14ac:dyDescent="0.35">
      <c r="A401" s="8">
        <v>23</v>
      </c>
      <c r="B401" s="8">
        <v>2017</v>
      </c>
      <c r="C401" s="8">
        <v>2</v>
      </c>
      <c r="D401" s="8" t="s">
        <v>175</v>
      </c>
      <c r="E401" s="8" t="s">
        <v>348</v>
      </c>
      <c r="F401" t="s">
        <v>350</v>
      </c>
      <c r="G401" t="s">
        <v>12</v>
      </c>
      <c r="H401" s="4">
        <v>0.10393305439330544</v>
      </c>
      <c r="I401" t="str">
        <f t="shared" si="6"/>
        <v>Batrachoides  surinamensisPacu</v>
      </c>
    </row>
    <row r="402" spans="1:9" x14ac:dyDescent="0.35">
      <c r="A402" s="8">
        <v>24</v>
      </c>
      <c r="B402" s="8">
        <v>2017</v>
      </c>
      <c r="C402" s="8">
        <v>2</v>
      </c>
      <c r="D402" s="8" t="s">
        <v>174</v>
      </c>
      <c r="E402" s="8" t="s">
        <v>348</v>
      </c>
      <c r="F402" t="s">
        <v>1</v>
      </c>
      <c r="G402" t="s">
        <v>291</v>
      </c>
      <c r="H402" s="4">
        <v>3</v>
      </c>
      <c r="I402" t="str">
        <f t="shared" si="6"/>
        <v>Dastyis guttataLongnose stingray</v>
      </c>
    </row>
    <row r="403" spans="1:9" x14ac:dyDescent="0.35">
      <c r="A403" s="8">
        <v>24</v>
      </c>
      <c r="B403" s="8">
        <v>2017</v>
      </c>
      <c r="C403" s="8">
        <v>2</v>
      </c>
      <c r="D403" s="8" t="s">
        <v>174</v>
      </c>
      <c r="E403" s="8" t="s">
        <v>348</v>
      </c>
      <c r="F403" t="s">
        <v>2</v>
      </c>
      <c r="G403" t="s">
        <v>307</v>
      </c>
      <c r="H403" s="4">
        <v>5</v>
      </c>
      <c r="I403" t="str">
        <f t="shared" si="6"/>
        <v>Gymnura micruraButterfly stingray</v>
      </c>
    </row>
    <row r="404" spans="1:9" x14ac:dyDescent="0.35">
      <c r="A404" s="8">
        <v>24</v>
      </c>
      <c r="B404" s="8">
        <v>2017</v>
      </c>
      <c r="C404" s="8">
        <v>2</v>
      </c>
      <c r="D404" s="8" t="s">
        <v>174</v>
      </c>
      <c r="E404" s="8" t="s">
        <v>348</v>
      </c>
      <c r="F404" t="s">
        <v>54</v>
      </c>
      <c r="G404" t="s">
        <v>55</v>
      </c>
      <c r="H404" s="4">
        <v>0.22026431718061673</v>
      </c>
      <c r="I404" t="str">
        <f t="shared" si="6"/>
        <v>Arius proopsCuirass</v>
      </c>
    </row>
    <row r="405" spans="1:9" x14ac:dyDescent="0.35">
      <c r="A405" s="8">
        <v>24</v>
      </c>
      <c r="B405" s="8">
        <v>2017</v>
      </c>
      <c r="C405" s="8">
        <v>2</v>
      </c>
      <c r="D405" s="8" t="s">
        <v>174</v>
      </c>
      <c r="E405" s="8" t="s">
        <v>348</v>
      </c>
      <c r="F405" t="s">
        <v>6</v>
      </c>
      <c r="G405" t="s">
        <v>37</v>
      </c>
      <c r="H405" s="4">
        <v>1</v>
      </c>
      <c r="I405" t="str">
        <f t="shared" si="6"/>
        <v>Symphurus plagusiaTongue fish</v>
      </c>
    </row>
    <row r="406" spans="1:9" x14ac:dyDescent="0.35">
      <c r="A406" s="8">
        <v>24</v>
      </c>
      <c r="B406" s="8">
        <v>2017</v>
      </c>
      <c r="C406" s="8">
        <v>2</v>
      </c>
      <c r="D406" s="8" t="s">
        <v>174</v>
      </c>
      <c r="E406" s="8" t="s">
        <v>348</v>
      </c>
      <c r="F406" t="s">
        <v>7</v>
      </c>
      <c r="G406" t="s">
        <v>8</v>
      </c>
      <c r="H406" s="4">
        <v>0.5</v>
      </c>
      <c r="I406" t="str">
        <f t="shared" si="6"/>
        <v>Achirus achirusDrab Sole</v>
      </c>
    </row>
    <row r="407" spans="1:9" x14ac:dyDescent="0.35">
      <c r="A407" s="8">
        <v>24</v>
      </c>
      <c r="B407" s="8">
        <v>2017</v>
      </c>
      <c r="C407" s="8">
        <v>2</v>
      </c>
      <c r="D407" s="8" t="s">
        <v>174</v>
      </c>
      <c r="E407" s="8" t="s">
        <v>348</v>
      </c>
      <c r="F407" t="s">
        <v>40</v>
      </c>
      <c r="G407" t="s">
        <v>35</v>
      </c>
      <c r="H407" s="4">
        <v>40</v>
      </c>
      <c r="I407" t="str">
        <f t="shared" si="6"/>
        <v>Macrodon ancylodonBangamary</v>
      </c>
    </row>
    <row r="408" spans="1:9" x14ac:dyDescent="0.35">
      <c r="A408" s="8">
        <v>24</v>
      </c>
      <c r="B408" s="8">
        <v>2017</v>
      </c>
      <c r="C408" s="8">
        <v>2</v>
      </c>
      <c r="D408" s="8" t="s">
        <v>174</v>
      </c>
      <c r="E408" s="8" t="s">
        <v>348</v>
      </c>
      <c r="F408" t="s">
        <v>15</v>
      </c>
      <c r="G408" t="s">
        <v>16</v>
      </c>
      <c r="H408" s="4">
        <v>0.44052863436123346</v>
      </c>
      <c r="I408" t="str">
        <f t="shared" si="6"/>
        <v>Nebris micropsButterfish</v>
      </c>
    </row>
    <row r="409" spans="1:9" x14ac:dyDescent="0.35">
      <c r="A409" s="8">
        <v>24</v>
      </c>
      <c r="B409" s="8">
        <v>2017</v>
      </c>
      <c r="C409" s="8">
        <v>2</v>
      </c>
      <c r="D409" s="8" t="s">
        <v>174</v>
      </c>
      <c r="E409" s="8" t="s">
        <v>348</v>
      </c>
      <c r="F409" t="s">
        <v>39</v>
      </c>
      <c r="G409" t="s">
        <v>38</v>
      </c>
      <c r="H409" s="4">
        <v>2.2026431718061675E-2</v>
      </c>
      <c r="I409" t="str">
        <f t="shared" si="6"/>
        <v>Colomesus psittacusBanded Puffer</v>
      </c>
    </row>
    <row r="410" spans="1:9" x14ac:dyDescent="0.35">
      <c r="A410" s="8">
        <v>24</v>
      </c>
      <c r="B410" s="8">
        <v>2017</v>
      </c>
      <c r="C410" s="8">
        <v>2</v>
      </c>
      <c r="D410" s="8" t="s">
        <v>174</v>
      </c>
      <c r="E410" s="8" t="s">
        <v>348</v>
      </c>
      <c r="F410" t="s">
        <v>350</v>
      </c>
      <c r="G410" t="s">
        <v>12</v>
      </c>
      <c r="H410" s="4">
        <v>0.22026431718061673</v>
      </c>
      <c r="I410" t="str">
        <f t="shared" si="6"/>
        <v>Batrachoides  surinamensisPacu</v>
      </c>
    </row>
    <row r="411" spans="1:9" x14ac:dyDescent="0.35">
      <c r="A411" s="8">
        <v>24</v>
      </c>
      <c r="B411" s="8">
        <v>2017</v>
      </c>
      <c r="C411" s="8">
        <v>2</v>
      </c>
      <c r="D411" s="8" t="s">
        <v>174</v>
      </c>
      <c r="E411" s="8" t="s">
        <v>348</v>
      </c>
      <c r="F411" t="s">
        <v>58</v>
      </c>
      <c r="G411" t="s">
        <v>59</v>
      </c>
      <c r="H411" s="4">
        <v>20</v>
      </c>
      <c r="I411" t="str">
        <f t="shared" si="6"/>
        <v>Stellifer rastriferRockhead</v>
      </c>
    </row>
    <row r="412" spans="1:9" x14ac:dyDescent="0.35">
      <c r="A412" s="8">
        <v>24</v>
      </c>
      <c r="B412" s="8">
        <v>2017</v>
      </c>
      <c r="C412" s="8">
        <v>2</v>
      </c>
      <c r="D412" s="8" t="s">
        <v>174</v>
      </c>
      <c r="E412" s="8" t="s">
        <v>348</v>
      </c>
      <c r="F412" t="s">
        <v>121</v>
      </c>
      <c r="G412" t="s">
        <v>44</v>
      </c>
      <c r="H412" s="4">
        <v>0.44052863436123346</v>
      </c>
      <c r="I412" t="str">
        <f t="shared" si="6"/>
        <v>Anchoa mitchilliNegli</v>
      </c>
    </row>
    <row r="413" spans="1:9" x14ac:dyDescent="0.35">
      <c r="A413" s="8">
        <v>24</v>
      </c>
      <c r="B413" s="8">
        <v>2017</v>
      </c>
      <c r="C413" s="8">
        <v>2</v>
      </c>
      <c r="D413" s="8" t="s">
        <v>174</v>
      </c>
      <c r="E413" s="8" t="s">
        <v>348</v>
      </c>
      <c r="F413" t="s">
        <v>43</v>
      </c>
      <c r="G413" t="s">
        <v>57</v>
      </c>
      <c r="H413" s="4">
        <v>7</v>
      </c>
      <c r="I413" t="str">
        <f t="shared" si="6"/>
        <v>Cynoscion virescensSeatrout</v>
      </c>
    </row>
    <row r="414" spans="1:9" x14ac:dyDescent="0.35">
      <c r="A414" s="8">
        <v>24</v>
      </c>
      <c r="B414" s="8">
        <v>2017</v>
      </c>
      <c r="C414" s="8">
        <v>2</v>
      </c>
      <c r="D414" s="8" t="s">
        <v>174</v>
      </c>
      <c r="E414" s="8" t="s">
        <v>348</v>
      </c>
      <c r="F414" t="s">
        <v>50</v>
      </c>
      <c r="G414" t="s">
        <v>56</v>
      </c>
      <c r="H414" s="4">
        <v>15</v>
      </c>
      <c r="I414" t="str">
        <f t="shared" si="6"/>
        <v>Trichiurus lepturusSilverbelt</v>
      </c>
    </row>
    <row r="415" spans="1:9" x14ac:dyDescent="0.35">
      <c r="A415" s="8">
        <v>24</v>
      </c>
      <c r="B415" s="8">
        <v>2017</v>
      </c>
      <c r="C415" s="8">
        <v>2</v>
      </c>
      <c r="D415" s="8" t="s">
        <v>174</v>
      </c>
      <c r="E415" s="8" t="s">
        <v>348</v>
      </c>
      <c r="F415" t="s">
        <v>3</v>
      </c>
      <c r="G415" t="s">
        <v>32</v>
      </c>
      <c r="H415" s="4">
        <v>5</v>
      </c>
      <c r="I415" t="str">
        <f t="shared" si="6"/>
        <v>Ophichtus gomesiShrimp Eel</v>
      </c>
    </row>
    <row r="416" spans="1:9" x14ac:dyDescent="0.35">
      <c r="A416" s="8">
        <v>24</v>
      </c>
      <c r="B416" s="8">
        <v>2017</v>
      </c>
      <c r="C416" s="8">
        <v>2</v>
      </c>
      <c r="D416" s="8" t="s">
        <v>174</v>
      </c>
      <c r="E416" s="8" t="s">
        <v>348</v>
      </c>
      <c r="F416" t="s">
        <v>63</v>
      </c>
      <c r="G416" t="s">
        <v>62</v>
      </c>
      <c r="H416" s="26">
        <v>2.2026431718061676E-3</v>
      </c>
      <c r="I416" t="str">
        <f t="shared" si="6"/>
        <v>Selene browniMoonfish</v>
      </c>
    </row>
    <row r="417" spans="1:9" x14ac:dyDescent="0.35">
      <c r="A417" s="8">
        <v>25</v>
      </c>
      <c r="B417" s="8">
        <v>2017</v>
      </c>
      <c r="C417" s="8">
        <v>12</v>
      </c>
      <c r="D417" s="8" t="s">
        <v>174</v>
      </c>
      <c r="E417" s="8" t="s">
        <v>349</v>
      </c>
      <c r="F417" t="s">
        <v>276</v>
      </c>
      <c r="G417" t="s">
        <v>277</v>
      </c>
      <c r="H417" s="4">
        <v>260.21633596609519</v>
      </c>
      <c r="I417" t="str">
        <f t="shared" si="6"/>
        <v>Xiphopenaeus kroyeriSeabob</v>
      </c>
    </row>
    <row r="418" spans="1:9" x14ac:dyDescent="0.35">
      <c r="A418" s="8">
        <v>25</v>
      </c>
      <c r="B418" s="8">
        <v>2017</v>
      </c>
      <c r="C418" s="8">
        <v>12</v>
      </c>
      <c r="D418" s="8" t="s">
        <v>174</v>
      </c>
      <c r="E418" s="8" t="s">
        <v>349</v>
      </c>
      <c r="F418" t="s">
        <v>278</v>
      </c>
      <c r="G418" t="s">
        <v>353</v>
      </c>
      <c r="H418" s="4">
        <v>28.912926218455016</v>
      </c>
      <c r="I418" t="str">
        <f t="shared" si="6"/>
        <v>Nematopalaemon schmittiWhitebelly shrimp</v>
      </c>
    </row>
    <row r="419" spans="1:9" x14ac:dyDescent="0.35">
      <c r="A419" s="8">
        <v>25</v>
      </c>
      <c r="B419" s="8">
        <v>2017</v>
      </c>
      <c r="C419" s="8">
        <v>12</v>
      </c>
      <c r="D419" s="8" t="s">
        <v>174</v>
      </c>
      <c r="E419" s="8" t="s">
        <v>349</v>
      </c>
      <c r="F419" t="s">
        <v>85</v>
      </c>
      <c r="G419" t="s">
        <v>279</v>
      </c>
      <c r="H419" s="4">
        <v>0.12391254093623578</v>
      </c>
      <c r="I419" t="str">
        <f t="shared" si="6"/>
        <v>Squilla mantisMantis shrimp</v>
      </c>
    </row>
    <row r="420" spans="1:9" x14ac:dyDescent="0.35">
      <c r="A420" s="8">
        <v>25</v>
      </c>
      <c r="B420" s="8">
        <v>2017</v>
      </c>
      <c r="C420" s="8">
        <v>12</v>
      </c>
      <c r="D420" s="8" t="s">
        <v>174</v>
      </c>
      <c r="E420" s="8" t="s">
        <v>349</v>
      </c>
      <c r="F420" t="s">
        <v>280</v>
      </c>
      <c r="G420" t="s">
        <v>301</v>
      </c>
      <c r="H420" s="4">
        <v>0.20652090156039299</v>
      </c>
      <c r="I420" t="str">
        <f t="shared" si="6"/>
        <v>Anchoviella lepidentosoleBroad striped anchovy</v>
      </c>
    </row>
    <row r="421" spans="1:9" x14ac:dyDescent="0.35">
      <c r="A421" s="8">
        <v>25</v>
      </c>
      <c r="B421" s="8">
        <v>2017</v>
      </c>
      <c r="C421" s="8">
        <v>12</v>
      </c>
      <c r="D421" s="8" t="s">
        <v>174</v>
      </c>
      <c r="E421" s="8" t="s">
        <v>349</v>
      </c>
      <c r="F421" t="s">
        <v>281</v>
      </c>
      <c r="G421" t="s">
        <v>344</v>
      </c>
      <c r="H421" s="4">
        <v>0.20652090156039299</v>
      </c>
      <c r="I421" t="str">
        <f t="shared" si="6"/>
        <v>Chloroscombrus chrysurusAtlantic bumber</v>
      </c>
    </row>
    <row r="422" spans="1:9" x14ac:dyDescent="0.35">
      <c r="A422" s="8">
        <v>25</v>
      </c>
      <c r="B422" s="8">
        <v>2017</v>
      </c>
      <c r="C422" s="8">
        <v>12</v>
      </c>
      <c r="D422" s="8" t="s">
        <v>174</v>
      </c>
      <c r="E422" s="8" t="s">
        <v>349</v>
      </c>
      <c r="F422" t="s">
        <v>11</v>
      </c>
      <c r="G422" t="s">
        <v>282</v>
      </c>
      <c r="H422" s="4">
        <v>2.6434675399730305</v>
      </c>
      <c r="I422" t="str">
        <f t="shared" si="6"/>
        <v>Centropomus pectinatus Chinese snook</v>
      </c>
    </row>
    <row r="423" spans="1:9" x14ac:dyDescent="0.35">
      <c r="A423" s="8">
        <v>25</v>
      </c>
      <c r="B423" s="8">
        <v>2017</v>
      </c>
      <c r="C423" s="8">
        <v>12</v>
      </c>
      <c r="D423" s="8" t="s">
        <v>174</v>
      </c>
      <c r="E423" s="8" t="s">
        <v>349</v>
      </c>
      <c r="F423" t="s">
        <v>350</v>
      </c>
      <c r="G423" t="s">
        <v>12</v>
      </c>
      <c r="H423" s="4">
        <v>0.12391254093623578</v>
      </c>
      <c r="I423" t="str">
        <f t="shared" si="6"/>
        <v>Batrachoides  surinamensisPacu</v>
      </c>
    </row>
    <row r="424" spans="1:9" x14ac:dyDescent="0.35">
      <c r="A424" s="8">
        <v>25</v>
      </c>
      <c r="B424" s="8">
        <v>2017</v>
      </c>
      <c r="C424" s="8">
        <v>12</v>
      </c>
      <c r="D424" s="8" t="s">
        <v>174</v>
      </c>
      <c r="E424" s="8" t="s">
        <v>349</v>
      </c>
      <c r="F424" t="s">
        <v>283</v>
      </c>
      <c r="G424" t="s">
        <v>284</v>
      </c>
      <c r="H424" s="4">
        <v>0.49565016374494314</v>
      </c>
      <c r="I424" t="str">
        <f t="shared" si="6"/>
        <v>Paralonchurus braziliensisBanded croaker</v>
      </c>
    </row>
    <row r="425" spans="1:9" x14ac:dyDescent="0.35">
      <c r="A425" s="8">
        <v>25</v>
      </c>
      <c r="B425" s="8">
        <v>2017</v>
      </c>
      <c r="C425" s="8">
        <v>12</v>
      </c>
      <c r="D425" s="8" t="s">
        <v>174</v>
      </c>
      <c r="E425" s="8" t="s">
        <v>349</v>
      </c>
      <c r="F425" t="s">
        <v>15</v>
      </c>
      <c r="G425" t="s">
        <v>16</v>
      </c>
      <c r="H425" s="4">
        <v>40.519400886149107</v>
      </c>
      <c r="I425" t="str">
        <f t="shared" si="6"/>
        <v>Nebris micropsButterfish</v>
      </c>
    </row>
    <row r="426" spans="1:9" x14ac:dyDescent="0.35">
      <c r="A426" s="8">
        <v>25</v>
      </c>
      <c r="B426" s="8">
        <v>2017</v>
      </c>
      <c r="C426" s="8">
        <v>12</v>
      </c>
      <c r="D426" s="8" t="s">
        <v>174</v>
      </c>
      <c r="E426" s="8" t="s">
        <v>349</v>
      </c>
      <c r="F426" t="s">
        <v>43</v>
      </c>
      <c r="G426" t="s">
        <v>57</v>
      </c>
      <c r="H426" s="4">
        <v>42.130263918320168</v>
      </c>
      <c r="I426" t="str">
        <f t="shared" si="6"/>
        <v>Cynoscion virescensSeatrout</v>
      </c>
    </row>
    <row r="427" spans="1:9" x14ac:dyDescent="0.35">
      <c r="A427" s="8">
        <v>25</v>
      </c>
      <c r="B427" s="8">
        <v>2017</v>
      </c>
      <c r="C427" s="8">
        <v>12</v>
      </c>
      <c r="D427" s="8" t="s">
        <v>174</v>
      </c>
      <c r="E427" s="8" t="s">
        <v>349</v>
      </c>
      <c r="F427" t="s">
        <v>17</v>
      </c>
      <c r="G427" t="s">
        <v>285</v>
      </c>
      <c r="H427" s="4">
        <v>2.06520901560393</v>
      </c>
      <c r="I427" t="str">
        <f t="shared" si="6"/>
        <v>Larimus brevicepsSilver snapper</v>
      </c>
    </row>
    <row r="428" spans="1:9" x14ac:dyDescent="0.35">
      <c r="A428" s="8">
        <v>25</v>
      </c>
      <c r="B428" s="8">
        <v>2017</v>
      </c>
      <c r="C428" s="8">
        <v>12</v>
      </c>
      <c r="D428" s="8" t="s">
        <v>174</v>
      </c>
      <c r="E428" s="8" t="s">
        <v>349</v>
      </c>
      <c r="F428" t="s">
        <v>40</v>
      </c>
      <c r="G428" t="s">
        <v>35</v>
      </c>
      <c r="H428" s="4">
        <v>10.491261799267964</v>
      </c>
      <c r="I428" t="str">
        <f t="shared" si="6"/>
        <v>Macrodon ancylodonBangamary</v>
      </c>
    </row>
    <row r="429" spans="1:9" x14ac:dyDescent="0.35">
      <c r="A429" s="8">
        <v>25</v>
      </c>
      <c r="B429" s="8">
        <v>2017</v>
      </c>
      <c r="C429" s="8">
        <v>12</v>
      </c>
      <c r="D429" s="8" t="s">
        <v>174</v>
      </c>
      <c r="E429" s="8" t="s">
        <v>349</v>
      </c>
      <c r="F429" t="s">
        <v>50</v>
      </c>
      <c r="G429" t="s">
        <v>56</v>
      </c>
      <c r="H429" s="4">
        <v>0.61956270468117902</v>
      </c>
      <c r="I429" t="str">
        <f t="shared" si="6"/>
        <v>Trichiurus lepturusSilverbelt</v>
      </c>
    </row>
    <row r="430" spans="1:9" x14ac:dyDescent="0.35">
      <c r="A430" s="8">
        <v>25</v>
      </c>
      <c r="B430" s="8">
        <v>2017</v>
      </c>
      <c r="C430" s="8">
        <v>12</v>
      </c>
      <c r="D430" s="8" t="s">
        <v>174</v>
      </c>
      <c r="E430" s="8" t="s">
        <v>349</v>
      </c>
      <c r="F430" t="s">
        <v>21</v>
      </c>
      <c r="G430" t="s">
        <v>59</v>
      </c>
      <c r="H430" s="4">
        <v>24.617291465998846</v>
      </c>
      <c r="I430" t="str">
        <f t="shared" si="6"/>
        <v>Stellifer micropsRockhead</v>
      </c>
    </row>
    <row r="431" spans="1:9" x14ac:dyDescent="0.35">
      <c r="A431" s="8">
        <v>25</v>
      </c>
      <c r="B431" s="8">
        <v>2017</v>
      </c>
      <c r="C431" s="8">
        <v>12</v>
      </c>
      <c r="D431" s="8" t="s">
        <v>174</v>
      </c>
      <c r="E431" s="8" t="s">
        <v>349</v>
      </c>
      <c r="F431" t="s">
        <v>58</v>
      </c>
      <c r="G431" t="s">
        <v>59</v>
      </c>
      <c r="H431" s="4">
        <v>4.9978058177615106</v>
      </c>
      <c r="I431" t="str">
        <f t="shared" si="6"/>
        <v>Stellifer rastriferRockhead</v>
      </c>
    </row>
    <row r="432" spans="1:9" x14ac:dyDescent="0.35">
      <c r="A432" s="8">
        <v>25</v>
      </c>
      <c r="B432" s="8">
        <v>2017</v>
      </c>
      <c r="C432" s="8">
        <v>12</v>
      </c>
      <c r="D432" s="8" t="s">
        <v>174</v>
      </c>
      <c r="E432" s="8" t="s">
        <v>349</v>
      </c>
      <c r="F432" t="s">
        <v>116</v>
      </c>
      <c r="G432" t="s">
        <v>287</v>
      </c>
      <c r="H432" s="4">
        <v>0.41304180312078598</v>
      </c>
      <c r="I432" t="str">
        <f t="shared" si="6"/>
        <v>Anchoa spiniferSpecule anchovy</v>
      </c>
    </row>
    <row r="433" spans="1:9" x14ac:dyDescent="0.35">
      <c r="A433" s="8">
        <v>25</v>
      </c>
      <c r="B433" s="8">
        <v>2017</v>
      </c>
      <c r="C433" s="8">
        <v>12</v>
      </c>
      <c r="D433" s="8" t="s">
        <v>174</v>
      </c>
      <c r="E433" s="8" t="s">
        <v>349</v>
      </c>
      <c r="F433" t="s">
        <v>39</v>
      </c>
      <c r="G433" t="s">
        <v>288</v>
      </c>
      <c r="H433" s="4">
        <v>1.6934713927952223</v>
      </c>
      <c r="I433" t="str">
        <f t="shared" si="6"/>
        <v>Colomesus psittacusBanded puffer</v>
      </c>
    </row>
    <row r="434" spans="1:9" x14ac:dyDescent="0.35">
      <c r="A434" s="8">
        <v>25</v>
      </c>
      <c r="B434" s="8">
        <v>2017</v>
      </c>
      <c r="C434" s="8">
        <v>12</v>
      </c>
      <c r="D434" s="8" t="s">
        <v>174</v>
      </c>
      <c r="E434" s="8" t="s">
        <v>349</v>
      </c>
      <c r="F434" t="s">
        <v>5</v>
      </c>
      <c r="G434" t="s">
        <v>4</v>
      </c>
      <c r="H434" s="4">
        <v>3.1804218840300522</v>
      </c>
      <c r="I434" t="str">
        <f t="shared" si="6"/>
        <v>Bagre bagreCatfish</v>
      </c>
    </row>
    <row r="435" spans="1:9" x14ac:dyDescent="0.35">
      <c r="A435" s="8">
        <v>25</v>
      </c>
      <c r="B435" s="8">
        <v>2017</v>
      </c>
      <c r="C435" s="8">
        <v>12</v>
      </c>
      <c r="D435" s="8" t="s">
        <v>174</v>
      </c>
      <c r="E435" s="8" t="s">
        <v>349</v>
      </c>
      <c r="F435" t="s">
        <v>54</v>
      </c>
      <c r="G435" t="s">
        <v>55</v>
      </c>
      <c r="H435" s="4">
        <v>0.20652090156039299</v>
      </c>
      <c r="I435" t="str">
        <f t="shared" si="6"/>
        <v>Arius proopsCuirass</v>
      </c>
    </row>
    <row r="436" spans="1:9" x14ac:dyDescent="0.35">
      <c r="A436" s="8">
        <v>25</v>
      </c>
      <c r="B436" s="8">
        <v>2017</v>
      </c>
      <c r="C436" s="8">
        <v>12</v>
      </c>
      <c r="D436" s="8" t="s">
        <v>174</v>
      </c>
      <c r="E436" s="8" t="s">
        <v>349</v>
      </c>
      <c r="F436" t="s">
        <v>6</v>
      </c>
      <c r="G436" t="s">
        <v>37</v>
      </c>
      <c r="H436" s="4">
        <v>2.2304257368522444</v>
      </c>
      <c r="I436" t="str">
        <f t="shared" si="6"/>
        <v>Symphurus plagusiaTongue fish</v>
      </c>
    </row>
    <row r="437" spans="1:9" x14ac:dyDescent="0.35">
      <c r="A437" s="8">
        <v>25</v>
      </c>
      <c r="B437" s="8">
        <v>2017</v>
      </c>
      <c r="C437" s="8">
        <v>12</v>
      </c>
      <c r="D437" s="8" t="s">
        <v>174</v>
      </c>
      <c r="E437" s="8" t="s">
        <v>349</v>
      </c>
      <c r="F437" t="s">
        <v>7</v>
      </c>
      <c r="G437" t="s">
        <v>289</v>
      </c>
      <c r="H437" s="4">
        <v>0.20652090156039299</v>
      </c>
      <c r="I437" t="str">
        <f t="shared" si="6"/>
        <v>Achirus achirusDrab sole</v>
      </c>
    </row>
    <row r="438" spans="1:9" x14ac:dyDescent="0.35">
      <c r="A438" s="8">
        <v>25</v>
      </c>
      <c r="B438" s="8">
        <v>2017</v>
      </c>
      <c r="C438" s="8">
        <v>12</v>
      </c>
      <c r="D438" s="8" t="s">
        <v>174</v>
      </c>
      <c r="E438" s="8" t="s">
        <v>349</v>
      </c>
      <c r="F438" t="s">
        <v>80</v>
      </c>
      <c r="G438" t="s">
        <v>290</v>
      </c>
      <c r="H438" s="4">
        <v>0.24782508187247157</v>
      </c>
      <c r="I438" t="str">
        <f t="shared" si="6"/>
        <v>Apionichthys dumeriliLongtail sole</v>
      </c>
    </row>
    <row r="439" spans="1:9" x14ac:dyDescent="0.35">
      <c r="A439" s="8">
        <v>25</v>
      </c>
      <c r="B439" s="8">
        <v>2017</v>
      </c>
      <c r="C439" s="8">
        <v>12</v>
      </c>
      <c r="D439" s="8" t="s">
        <v>174</v>
      </c>
      <c r="E439" s="8" t="s">
        <v>349</v>
      </c>
      <c r="F439" t="s">
        <v>1</v>
      </c>
      <c r="G439" t="s">
        <v>291</v>
      </c>
      <c r="H439" s="4">
        <v>2.2717299171643233</v>
      </c>
      <c r="I439" t="str">
        <f t="shared" si="6"/>
        <v>Dastyis guttataLongnose stingray</v>
      </c>
    </row>
    <row r="440" spans="1:9" x14ac:dyDescent="0.35">
      <c r="A440" s="8">
        <v>26</v>
      </c>
      <c r="B440" s="8">
        <v>2018</v>
      </c>
      <c r="C440" s="8">
        <v>1</v>
      </c>
      <c r="D440" s="8" t="s">
        <v>175</v>
      </c>
      <c r="E440" s="8" t="s">
        <v>349</v>
      </c>
      <c r="F440" t="s">
        <v>276</v>
      </c>
      <c r="G440" t="s">
        <v>277</v>
      </c>
      <c r="H440" s="4">
        <v>216.32622998544397</v>
      </c>
      <c r="I440" t="str">
        <f t="shared" si="6"/>
        <v>Xiphopenaeus kroyeriSeabob</v>
      </c>
    </row>
    <row r="441" spans="1:9" x14ac:dyDescent="0.35">
      <c r="A441" s="8">
        <v>26</v>
      </c>
      <c r="B441" s="8">
        <v>2018</v>
      </c>
      <c r="C441" s="8">
        <v>1</v>
      </c>
      <c r="D441" s="8" t="s">
        <v>175</v>
      </c>
      <c r="E441" s="8" t="s">
        <v>349</v>
      </c>
      <c r="F441" t="s">
        <v>278</v>
      </c>
      <c r="G441" t="s">
        <v>353</v>
      </c>
      <c r="H441" s="4">
        <v>16.24871906841339</v>
      </c>
      <c r="I441" t="str">
        <f t="shared" si="6"/>
        <v>Nematopalaemon schmittiWhitebelly shrimp</v>
      </c>
    </row>
    <row r="442" spans="1:9" x14ac:dyDescent="0.35">
      <c r="A442" s="8">
        <v>26</v>
      </c>
      <c r="B442" s="8">
        <v>2018</v>
      </c>
      <c r="C442" s="8">
        <v>1</v>
      </c>
      <c r="D442" s="8" t="s">
        <v>175</v>
      </c>
      <c r="E442" s="8" t="s">
        <v>349</v>
      </c>
      <c r="F442" t="s">
        <v>295</v>
      </c>
      <c r="G442" t="s">
        <v>296</v>
      </c>
      <c r="H442" s="4">
        <v>0.97007278020378451</v>
      </c>
      <c r="I442" t="str">
        <f t="shared" si="6"/>
        <v>Persephona lichtensteiniiSiri ball</v>
      </c>
    </row>
    <row r="443" spans="1:9" x14ac:dyDescent="0.35">
      <c r="A443" s="8">
        <v>26</v>
      </c>
      <c r="B443" s="8">
        <v>2018</v>
      </c>
      <c r="C443" s="8">
        <v>1</v>
      </c>
      <c r="D443" s="8" t="s">
        <v>175</v>
      </c>
      <c r="E443" s="8" t="s">
        <v>349</v>
      </c>
      <c r="F443" t="s">
        <v>297</v>
      </c>
      <c r="G443" t="s">
        <v>298</v>
      </c>
      <c r="H443" s="4">
        <v>2.1826637554585155</v>
      </c>
      <c r="I443" t="str">
        <f t="shared" si="6"/>
        <v>Callinectes ornatusSheriga crab</v>
      </c>
    </row>
    <row r="444" spans="1:9" x14ac:dyDescent="0.35">
      <c r="A444" s="8">
        <v>26</v>
      </c>
      <c r="B444" s="8">
        <v>2018</v>
      </c>
      <c r="C444" s="8">
        <v>1</v>
      </c>
      <c r="D444" s="8" t="s">
        <v>175</v>
      </c>
      <c r="E444" s="8" t="s">
        <v>349</v>
      </c>
      <c r="F444" t="s">
        <v>299</v>
      </c>
      <c r="G444" t="s">
        <v>300</v>
      </c>
      <c r="H444" s="4">
        <v>1.6167879670063077</v>
      </c>
      <c r="I444" t="str">
        <f t="shared" si="6"/>
        <v>Hepatus gronoviiBox crab</v>
      </c>
    </row>
    <row r="445" spans="1:9" x14ac:dyDescent="0.35">
      <c r="A445" s="8">
        <v>26</v>
      </c>
      <c r="B445" s="8">
        <v>2018</v>
      </c>
      <c r="C445" s="8">
        <v>1</v>
      </c>
      <c r="D445" s="8" t="s">
        <v>175</v>
      </c>
      <c r="E445" s="8" t="s">
        <v>349</v>
      </c>
      <c r="F445" t="s">
        <v>85</v>
      </c>
      <c r="G445" t="s">
        <v>279</v>
      </c>
      <c r="H445" s="4">
        <v>2.5060213488597767</v>
      </c>
      <c r="I445" t="str">
        <f t="shared" si="6"/>
        <v>Squilla mantisMantis shrimp</v>
      </c>
    </row>
    <row r="446" spans="1:9" x14ac:dyDescent="0.35">
      <c r="A446" s="8">
        <v>26</v>
      </c>
      <c r="B446" s="8">
        <v>2018</v>
      </c>
      <c r="C446" s="8">
        <v>1</v>
      </c>
      <c r="D446" s="8" t="s">
        <v>175</v>
      </c>
      <c r="E446" s="8" t="s">
        <v>349</v>
      </c>
      <c r="F446" t="s">
        <v>280</v>
      </c>
      <c r="G446" t="s">
        <v>301</v>
      </c>
      <c r="H446" s="4">
        <v>2.5868607472100922</v>
      </c>
      <c r="I446" t="str">
        <f t="shared" si="6"/>
        <v>Anchoviella lepidentosoleBroad striped anchovy</v>
      </c>
    </row>
    <row r="447" spans="1:9" x14ac:dyDescent="0.35">
      <c r="A447" s="8">
        <v>26</v>
      </c>
      <c r="B447" s="8">
        <v>2018</v>
      </c>
      <c r="C447" s="8">
        <v>1</v>
      </c>
      <c r="D447" s="8" t="s">
        <v>175</v>
      </c>
      <c r="E447" s="8" t="s">
        <v>349</v>
      </c>
      <c r="F447" t="s">
        <v>11</v>
      </c>
      <c r="G447" t="s">
        <v>282</v>
      </c>
      <c r="H447" s="4">
        <v>7.5989034449296451</v>
      </c>
      <c r="I447" t="str">
        <f t="shared" si="6"/>
        <v>Centropomus pectinatus Chinese snook</v>
      </c>
    </row>
    <row r="448" spans="1:9" x14ac:dyDescent="0.35">
      <c r="A448" s="8">
        <v>26</v>
      </c>
      <c r="B448" s="8">
        <v>2018</v>
      </c>
      <c r="C448" s="8">
        <v>1</v>
      </c>
      <c r="D448" s="8" t="s">
        <v>175</v>
      </c>
      <c r="E448" s="8" t="s">
        <v>349</v>
      </c>
      <c r="F448" t="s">
        <v>350</v>
      </c>
      <c r="G448" t="s">
        <v>12</v>
      </c>
      <c r="H448" s="4">
        <v>0.72755458515283844</v>
      </c>
      <c r="I448" t="str">
        <f t="shared" si="6"/>
        <v>Batrachoides  surinamensisPacu</v>
      </c>
    </row>
    <row r="449" spans="1:9" x14ac:dyDescent="0.35">
      <c r="A449" s="8">
        <v>26</v>
      </c>
      <c r="B449" s="8">
        <v>2018</v>
      </c>
      <c r="C449" s="8">
        <v>1</v>
      </c>
      <c r="D449" s="8" t="s">
        <v>175</v>
      </c>
      <c r="E449" s="8" t="s">
        <v>349</v>
      </c>
      <c r="F449" t="s">
        <v>283</v>
      </c>
      <c r="G449" t="s">
        <v>284</v>
      </c>
      <c r="H449" s="4">
        <v>18.108025230470648</v>
      </c>
      <c r="I449" t="str">
        <f t="shared" si="6"/>
        <v>Paralonchurus braziliensisBanded croaker</v>
      </c>
    </row>
    <row r="450" spans="1:9" x14ac:dyDescent="0.35">
      <c r="A450" s="8">
        <v>26</v>
      </c>
      <c r="B450" s="8">
        <v>2018</v>
      </c>
      <c r="C450" s="8">
        <v>1</v>
      </c>
      <c r="D450" s="8" t="s">
        <v>175</v>
      </c>
      <c r="E450" s="8" t="s">
        <v>349</v>
      </c>
      <c r="F450" t="s">
        <v>15</v>
      </c>
      <c r="G450" t="s">
        <v>16</v>
      </c>
      <c r="H450" s="4">
        <v>26.919519650655026</v>
      </c>
      <c r="I450" t="str">
        <f t="shared" si="6"/>
        <v>Nebris micropsButterfish</v>
      </c>
    </row>
    <row r="451" spans="1:9" x14ac:dyDescent="0.35">
      <c r="A451" s="8">
        <v>26</v>
      </c>
      <c r="B451" s="8">
        <v>2018</v>
      </c>
      <c r="C451" s="8">
        <v>1</v>
      </c>
      <c r="D451" s="8" t="s">
        <v>175</v>
      </c>
      <c r="E451" s="8" t="s">
        <v>349</v>
      </c>
      <c r="F451" t="s">
        <v>111</v>
      </c>
      <c r="G451" t="s">
        <v>109</v>
      </c>
      <c r="H451" s="4">
        <v>55.132469674915093</v>
      </c>
      <c r="I451" t="str">
        <f t="shared" ref="I451:I514" si="7">CONCATENATE(F451,G451)</f>
        <v>Micropogonias furnieriBashaw</v>
      </c>
    </row>
    <row r="452" spans="1:9" x14ac:dyDescent="0.35">
      <c r="A452" s="8">
        <v>26</v>
      </c>
      <c r="B452" s="8">
        <v>2018</v>
      </c>
      <c r="C452" s="8">
        <v>1</v>
      </c>
      <c r="D452" s="8" t="s">
        <v>175</v>
      </c>
      <c r="E452" s="8" t="s">
        <v>349</v>
      </c>
      <c r="F452" t="s">
        <v>22</v>
      </c>
      <c r="G452" t="s">
        <v>123</v>
      </c>
      <c r="H452" s="4">
        <v>6.6288306647258617</v>
      </c>
      <c r="I452" t="str">
        <f t="shared" si="7"/>
        <v>Menticirrhus americanusSouthern Kingcroaker</v>
      </c>
    </row>
    <row r="453" spans="1:9" x14ac:dyDescent="0.35">
      <c r="A453" s="8">
        <v>26</v>
      </c>
      <c r="B453" s="8">
        <v>2018</v>
      </c>
      <c r="C453" s="8">
        <v>1</v>
      </c>
      <c r="D453" s="8" t="s">
        <v>175</v>
      </c>
      <c r="E453" s="8" t="s">
        <v>349</v>
      </c>
      <c r="F453" t="s">
        <v>302</v>
      </c>
      <c r="G453" t="s">
        <v>303</v>
      </c>
      <c r="H453" s="4">
        <v>2.5868607472100922</v>
      </c>
      <c r="I453" t="str">
        <f t="shared" si="7"/>
        <v>Amphiarius rugispinisSofthead sea catfish</v>
      </c>
    </row>
    <row r="454" spans="1:9" x14ac:dyDescent="0.35">
      <c r="A454" s="8">
        <v>26</v>
      </c>
      <c r="B454" s="8">
        <v>2018</v>
      </c>
      <c r="C454" s="8">
        <v>1</v>
      </c>
      <c r="D454" s="8" t="s">
        <v>175</v>
      </c>
      <c r="E454" s="8" t="s">
        <v>349</v>
      </c>
      <c r="F454" t="s">
        <v>43</v>
      </c>
      <c r="G454" t="s">
        <v>57</v>
      </c>
      <c r="H454" s="4">
        <v>32.335759340126152</v>
      </c>
      <c r="I454" t="str">
        <f t="shared" si="7"/>
        <v>Cynoscion virescensSeatrout</v>
      </c>
    </row>
    <row r="455" spans="1:9" x14ac:dyDescent="0.35">
      <c r="A455" s="8">
        <v>26</v>
      </c>
      <c r="B455" s="8">
        <v>2018</v>
      </c>
      <c r="C455" s="8">
        <v>1</v>
      </c>
      <c r="D455" s="8" t="s">
        <v>175</v>
      </c>
      <c r="E455" s="8" t="s">
        <v>349</v>
      </c>
      <c r="F455" t="s">
        <v>40</v>
      </c>
      <c r="G455" t="s">
        <v>35</v>
      </c>
      <c r="H455" s="4">
        <v>28.859665211062591</v>
      </c>
      <c r="I455" t="str">
        <f t="shared" si="7"/>
        <v>Macrodon ancylodonBangamary</v>
      </c>
    </row>
    <row r="456" spans="1:9" x14ac:dyDescent="0.35">
      <c r="A456" s="8">
        <v>26</v>
      </c>
      <c r="B456" s="8">
        <v>2018</v>
      </c>
      <c r="C456" s="8">
        <v>1</v>
      </c>
      <c r="D456" s="8" t="s">
        <v>175</v>
      </c>
      <c r="E456" s="8" t="s">
        <v>349</v>
      </c>
      <c r="F456" t="s">
        <v>50</v>
      </c>
      <c r="G456" t="s">
        <v>56</v>
      </c>
      <c r="H456" s="4">
        <v>4.6078457059679767</v>
      </c>
      <c r="I456" t="str">
        <f t="shared" si="7"/>
        <v>Trichiurus lepturusSilverbelt</v>
      </c>
    </row>
    <row r="457" spans="1:9" x14ac:dyDescent="0.35">
      <c r="A457" s="8">
        <v>26</v>
      </c>
      <c r="B457" s="8">
        <v>2018</v>
      </c>
      <c r="C457" s="8">
        <v>1</v>
      </c>
      <c r="D457" s="8" t="s">
        <v>175</v>
      </c>
      <c r="E457" s="8" t="s">
        <v>349</v>
      </c>
      <c r="F457" t="s">
        <v>21</v>
      </c>
      <c r="G457" t="s">
        <v>59</v>
      </c>
      <c r="H457" s="4">
        <v>3.7186123241145075</v>
      </c>
      <c r="I457" t="str">
        <f t="shared" si="7"/>
        <v>Stellifer micropsRockhead</v>
      </c>
    </row>
    <row r="458" spans="1:9" x14ac:dyDescent="0.35">
      <c r="A458" s="8">
        <v>26</v>
      </c>
      <c r="B458" s="8">
        <v>2018</v>
      </c>
      <c r="C458" s="8">
        <v>1</v>
      </c>
      <c r="D458" s="8" t="s">
        <v>175</v>
      </c>
      <c r="E458" s="8" t="s">
        <v>349</v>
      </c>
      <c r="F458" t="s">
        <v>58</v>
      </c>
      <c r="G458" t="s">
        <v>59</v>
      </c>
      <c r="H458" s="4">
        <v>7.8414216399805916</v>
      </c>
      <c r="I458" t="str">
        <f t="shared" si="7"/>
        <v>Stellifer rastriferRockhead</v>
      </c>
    </row>
    <row r="459" spans="1:9" x14ac:dyDescent="0.35">
      <c r="A459" s="8">
        <v>26</v>
      </c>
      <c r="B459" s="8">
        <v>2018</v>
      </c>
      <c r="C459" s="8">
        <v>1</v>
      </c>
      <c r="D459" s="8" t="s">
        <v>175</v>
      </c>
      <c r="E459" s="8" t="s">
        <v>349</v>
      </c>
      <c r="F459" t="s">
        <v>116</v>
      </c>
      <c r="G459" t="s">
        <v>287</v>
      </c>
      <c r="H459" s="4">
        <v>1.3742697719553616</v>
      </c>
      <c r="I459" t="str">
        <f t="shared" si="7"/>
        <v>Anchoa spiniferSpecule anchovy</v>
      </c>
    </row>
    <row r="460" spans="1:9" x14ac:dyDescent="0.35">
      <c r="A460" s="8">
        <v>26</v>
      </c>
      <c r="B460" s="8">
        <v>2018</v>
      </c>
      <c r="C460" s="8">
        <v>1</v>
      </c>
      <c r="D460" s="8" t="s">
        <v>175</v>
      </c>
      <c r="E460" s="8" t="s">
        <v>349</v>
      </c>
      <c r="F460" t="s">
        <v>304</v>
      </c>
      <c r="G460" t="s">
        <v>305</v>
      </c>
      <c r="H460" s="4">
        <v>1.3742697719553616</v>
      </c>
      <c r="I460" t="str">
        <f t="shared" si="7"/>
        <v>Rypticus maculatusWhitespotted soapfish</v>
      </c>
    </row>
    <row r="461" spans="1:9" x14ac:dyDescent="0.35">
      <c r="A461" s="8">
        <v>26</v>
      </c>
      <c r="B461" s="8">
        <v>2018</v>
      </c>
      <c r="C461" s="8">
        <v>1</v>
      </c>
      <c r="D461" s="8" t="s">
        <v>175</v>
      </c>
      <c r="E461" s="8" t="s">
        <v>349</v>
      </c>
      <c r="F461" t="s">
        <v>6</v>
      </c>
      <c r="G461" t="s">
        <v>37</v>
      </c>
      <c r="H461" s="4">
        <v>33.386671518680252</v>
      </c>
      <c r="I461" t="str">
        <f t="shared" si="7"/>
        <v>Symphurus plagusiaTongue fish</v>
      </c>
    </row>
    <row r="462" spans="1:9" x14ac:dyDescent="0.35">
      <c r="A462" s="8">
        <v>26</v>
      </c>
      <c r="B462" s="8">
        <v>2018</v>
      </c>
      <c r="C462" s="8">
        <v>1</v>
      </c>
      <c r="D462" s="8" t="s">
        <v>175</v>
      </c>
      <c r="E462" s="8" t="s">
        <v>349</v>
      </c>
      <c r="F462" t="s">
        <v>7</v>
      </c>
      <c r="G462" t="s">
        <v>289</v>
      </c>
      <c r="H462" s="4">
        <v>2.5868607472100922</v>
      </c>
      <c r="I462" t="str">
        <f t="shared" si="7"/>
        <v>Achirus achirusDrab sole</v>
      </c>
    </row>
    <row r="463" spans="1:9" x14ac:dyDescent="0.35">
      <c r="A463" s="8">
        <v>26</v>
      </c>
      <c r="B463" s="8">
        <v>2018</v>
      </c>
      <c r="C463" s="8">
        <v>1</v>
      </c>
      <c r="D463" s="8" t="s">
        <v>175</v>
      </c>
      <c r="E463" s="8" t="s">
        <v>349</v>
      </c>
      <c r="F463" t="s">
        <v>1</v>
      </c>
      <c r="G463" t="s">
        <v>291</v>
      </c>
      <c r="H463" s="4">
        <v>4.2</v>
      </c>
      <c r="I463" t="str">
        <f t="shared" si="7"/>
        <v>Dastyis guttataLongnose stingray</v>
      </c>
    </row>
    <row r="464" spans="1:9" x14ac:dyDescent="0.35">
      <c r="A464" s="8">
        <v>26</v>
      </c>
      <c r="B464" s="8">
        <v>2018</v>
      </c>
      <c r="C464" s="8">
        <v>1</v>
      </c>
      <c r="D464" s="8" t="s">
        <v>175</v>
      </c>
      <c r="E464" s="8" t="s">
        <v>349</v>
      </c>
      <c r="F464" t="s">
        <v>129</v>
      </c>
      <c r="G464" t="s">
        <v>306</v>
      </c>
      <c r="H464" s="4">
        <v>5.0928820960698689</v>
      </c>
      <c r="I464" t="str">
        <f t="shared" si="7"/>
        <v>Dasyatis geijskesiSharpsnout stingray</v>
      </c>
    </row>
    <row r="465" spans="1:9" x14ac:dyDescent="0.35">
      <c r="A465" s="8">
        <v>26</v>
      </c>
      <c r="B465" s="8">
        <v>2018</v>
      </c>
      <c r="C465" s="8">
        <v>1</v>
      </c>
      <c r="D465" s="8" t="s">
        <v>175</v>
      </c>
      <c r="E465" s="8" t="s">
        <v>349</v>
      </c>
      <c r="F465" t="s">
        <v>2</v>
      </c>
      <c r="G465" t="s">
        <v>307</v>
      </c>
      <c r="H465" s="4">
        <v>1.5359485686559922</v>
      </c>
      <c r="I465" t="str">
        <f t="shared" si="7"/>
        <v>Gymnura micruraButterfly stingray</v>
      </c>
    </row>
    <row r="466" spans="1:9" x14ac:dyDescent="0.35">
      <c r="A466" s="8">
        <v>26</v>
      </c>
      <c r="B466" s="8">
        <v>2018</v>
      </c>
      <c r="C466" s="8">
        <v>1</v>
      </c>
      <c r="D466" s="8" t="s">
        <v>175</v>
      </c>
      <c r="E466" s="8" t="s">
        <v>349</v>
      </c>
      <c r="F466" t="s">
        <v>3</v>
      </c>
      <c r="G466" t="s">
        <v>308</v>
      </c>
      <c r="H466" s="4">
        <v>10.266603590490053</v>
      </c>
      <c r="I466" t="str">
        <f t="shared" si="7"/>
        <v>Ophichtus gomesiShrimp eel</v>
      </c>
    </row>
    <row r="467" spans="1:9" x14ac:dyDescent="0.35">
      <c r="A467" s="8">
        <v>26</v>
      </c>
      <c r="B467" s="8">
        <v>2018</v>
      </c>
      <c r="C467" s="8">
        <v>1</v>
      </c>
      <c r="D467" s="8" t="s">
        <v>175</v>
      </c>
      <c r="E467" s="8" t="s">
        <v>349</v>
      </c>
      <c r="F467" t="s">
        <v>309</v>
      </c>
      <c r="G467" t="s">
        <v>310</v>
      </c>
      <c r="H467" s="4">
        <v>6.7096700630761763</v>
      </c>
      <c r="I467" t="str">
        <f t="shared" si="7"/>
        <v>Cynoponticus savannaGuyana pike-conger</v>
      </c>
    </row>
    <row r="468" spans="1:9" x14ac:dyDescent="0.35">
      <c r="A468" s="8">
        <v>27</v>
      </c>
      <c r="B468" s="8">
        <v>2018</v>
      </c>
      <c r="C468" s="8">
        <v>1</v>
      </c>
      <c r="D468" s="8" t="s">
        <v>174</v>
      </c>
      <c r="E468" s="8" t="s">
        <v>349</v>
      </c>
      <c r="F468" t="s">
        <v>276</v>
      </c>
      <c r="G468" t="s">
        <v>277</v>
      </c>
      <c r="H468" s="4">
        <v>5.1804878048780498</v>
      </c>
      <c r="I468" t="str">
        <f t="shared" si="7"/>
        <v>Xiphopenaeus kroyeriSeabob</v>
      </c>
    </row>
    <row r="469" spans="1:9" x14ac:dyDescent="0.35">
      <c r="A469" s="8">
        <v>27</v>
      </c>
      <c r="B469" s="8">
        <v>2018</v>
      </c>
      <c r="C469" s="8">
        <v>1</v>
      </c>
      <c r="D469" s="8" t="s">
        <v>174</v>
      </c>
      <c r="E469" s="8" t="s">
        <v>349</v>
      </c>
      <c r="F469" t="s">
        <v>85</v>
      </c>
      <c r="G469" t="s">
        <v>279</v>
      </c>
      <c r="H469" s="4">
        <v>0.57560975609756104</v>
      </c>
      <c r="I469" t="str">
        <f t="shared" si="7"/>
        <v>Squilla mantisMantis shrimp</v>
      </c>
    </row>
    <row r="470" spans="1:9" x14ac:dyDescent="0.35">
      <c r="A470" s="8">
        <v>27</v>
      </c>
      <c r="B470" s="8">
        <v>2018</v>
      </c>
      <c r="C470" s="8">
        <v>1</v>
      </c>
      <c r="D470" s="8" t="s">
        <v>174</v>
      </c>
      <c r="E470" s="8" t="s">
        <v>349</v>
      </c>
      <c r="F470" t="s">
        <v>283</v>
      </c>
      <c r="G470" t="s">
        <v>284</v>
      </c>
      <c r="H470" s="4">
        <v>0.57560975609756104</v>
      </c>
      <c r="I470" t="str">
        <f t="shared" si="7"/>
        <v>Paralonchurus braziliensisBanded croaker</v>
      </c>
    </row>
    <row r="471" spans="1:9" x14ac:dyDescent="0.35">
      <c r="A471" s="8">
        <v>27</v>
      </c>
      <c r="B471" s="8">
        <v>2018</v>
      </c>
      <c r="C471" s="8">
        <v>1</v>
      </c>
      <c r="D471" s="8" t="s">
        <v>174</v>
      </c>
      <c r="E471" s="8" t="s">
        <v>349</v>
      </c>
      <c r="F471" t="s">
        <v>15</v>
      </c>
      <c r="G471" t="s">
        <v>16</v>
      </c>
      <c r="H471" s="4">
        <v>13.239024390243902</v>
      </c>
      <c r="I471" t="str">
        <f t="shared" si="7"/>
        <v>Nebris micropsButterfish</v>
      </c>
    </row>
    <row r="472" spans="1:9" x14ac:dyDescent="0.35">
      <c r="A472" s="8">
        <v>27</v>
      </c>
      <c r="B472" s="8">
        <v>2018</v>
      </c>
      <c r="C472" s="8">
        <v>1</v>
      </c>
      <c r="D472" s="8" t="s">
        <v>174</v>
      </c>
      <c r="E472" s="8" t="s">
        <v>349</v>
      </c>
      <c r="F472" t="s">
        <v>111</v>
      </c>
      <c r="G472" t="s">
        <v>109</v>
      </c>
      <c r="H472" s="4">
        <v>12.663414634146346</v>
      </c>
      <c r="I472" t="str">
        <f t="shared" si="7"/>
        <v>Micropogonias furnieriBashaw</v>
      </c>
    </row>
    <row r="473" spans="1:9" x14ac:dyDescent="0.35">
      <c r="A473" s="8">
        <v>27</v>
      </c>
      <c r="B473" s="8">
        <v>2018</v>
      </c>
      <c r="C473" s="8">
        <v>1</v>
      </c>
      <c r="D473" s="8" t="s">
        <v>174</v>
      </c>
      <c r="E473" s="8" t="s">
        <v>349</v>
      </c>
      <c r="F473" t="s">
        <v>350</v>
      </c>
      <c r="G473" t="s">
        <v>12</v>
      </c>
      <c r="H473" s="4">
        <v>6.3317073170731728</v>
      </c>
      <c r="I473" t="str">
        <f t="shared" si="7"/>
        <v>Batrachoides  surinamensisPacu</v>
      </c>
    </row>
    <row r="474" spans="1:9" x14ac:dyDescent="0.35">
      <c r="A474" s="8">
        <v>27</v>
      </c>
      <c r="B474" s="8">
        <v>2018</v>
      </c>
      <c r="C474" s="8">
        <v>1</v>
      </c>
      <c r="D474" s="8" t="s">
        <v>174</v>
      </c>
      <c r="E474" s="8" t="s">
        <v>349</v>
      </c>
      <c r="F474" t="s">
        <v>63</v>
      </c>
      <c r="G474" t="s">
        <v>62</v>
      </c>
      <c r="H474" s="4">
        <v>0.57560975609756104</v>
      </c>
      <c r="I474" t="str">
        <f t="shared" si="7"/>
        <v>Selene browniMoonfish</v>
      </c>
    </row>
    <row r="475" spans="1:9" x14ac:dyDescent="0.35">
      <c r="A475" s="8">
        <v>27</v>
      </c>
      <c r="B475" s="8">
        <v>2018</v>
      </c>
      <c r="C475" s="8">
        <v>1</v>
      </c>
      <c r="D475" s="8" t="s">
        <v>174</v>
      </c>
      <c r="E475" s="8" t="s">
        <v>349</v>
      </c>
      <c r="F475" t="s">
        <v>42</v>
      </c>
      <c r="G475" t="s">
        <v>126</v>
      </c>
      <c r="H475" s="4">
        <v>1.1512195121951221</v>
      </c>
      <c r="I475" t="str">
        <f t="shared" si="7"/>
        <v>Paralonchurus  elegansChinese Butterfish</v>
      </c>
    </row>
    <row r="476" spans="1:9" x14ac:dyDescent="0.35">
      <c r="A476" s="8">
        <v>27</v>
      </c>
      <c r="B476" s="8">
        <v>2018</v>
      </c>
      <c r="C476" s="8">
        <v>1</v>
      </c>
      <c r="D476" s="8" t="s">
        <v>174</v>
      </c>
      <c r="E476" s="8" t="s">
        <v>349</v>
      </c>
      <c r="F476" t="s">
        <v>121</v>
      </c>
      <c r="G476" t="s">
        <v>44</v>
      </c>
      <c r="H476" s="4">
        <v>2.8780487804878052</v>
      </c>
      <c r="I476" t="str">
        <f t="shared" si="7"/>
        <v>Anchoa mitchilliNegli</v>
      </c>
    </row>
    <row r="477" spans="1:9" x14ac:dyDescent="0.35">
      <c r="A477" s="8">
        <v>27</v>
      </c>
      <c r="B477" s="8">
        <v>2018</v>
      </c>
      <c r="C477" s="8">
        <v>1</v>
      </c>
      <c r="D477" s="8" t="s">
        <v>174</v>
      </c>
      <c r="E477" s="8" t="s">
        <v>349</v>
      </c>
      <c r="F477" t="s">
        <v>41</v>
      </c>
      <c r="G477" t="s">
        <v>10</v>
      </c>
      <c r="H477" s="4">
        <v>1.7268292682926831</v>
      </c>
      <c r="I477" t="str">
        <f t="shared" si="7"/>
        <v>Chaetodipterus faberSea Donkey</v>
      </c>
    </row>
    <row r="478" spans="1:9" x14ac:dyDescent="0.35">
      <c r="A478" s="8">
        <v>27</v>
      </c>
      <c r="B478" s="8">
        <v>2018</v>
      </c>
      <c r="C478" s="8">
        <v>1</v>
      </c>
      <c r="D478" s="8" t="s">
        <v>174</v>
      </c>
      <c r="E478" s="8" t="s">
        <v>349</v>
      </c>
      <c r="F478" t="s">
        <v>21</v>
      </c>
      <c r="G478" t="s">
        <v>59</v>
      </c>
      <c r="H478" s="4">
        <v>4.0292682926829269</v>
      </c>
      <c r="I478" t="str">
        <f t="shared" si="7"/>
        <v>Stellifer micropsRockhead</v>
      </c>
    </row>
    <row r="479" spans="1:9" x14ac:dyDescent="0.35">
      <c r="A479" s="8">
        <v>27</v>
      </c>
      <c r="B479" s="8">
        <v>2018</v>
      </c>
      <c r="C479" s="8">
        <v>1</v>
      </c>
      <c r="D479" s="8" t="s">
        <v>174</v>
      </c>
      <c r="E479" s="8" t="s">
        <v>349</v>
      </c>
      <c r="F479" t="s">
        <v>54</v>
      </c>
      <c r="G479" t="s">
        <v>316</v>
      </c>
      <c r="H479" s="4">
        <v>1.7268292682926831</v>
      </c>
      <c r="I479" t="str">
        <f t="shared" si="7"/>
        <v xml:space="preserve">Arius proopsCuirass </v>
      </c>
    </row>
    <row r="480" spans="1:9" x14ac:dyDescent="0.35">
      <c r="A480" s="8">
        <v>27</v>
      </c>
      <c r="B480" s="8">
        <v>2018</v>
      </c>
      <c r="C480" s="8">
        <v>1</v>
      </c>
      <c r="D480" s="8" t="s">
        <v>174</v>
      </c>
      <c r="E480" s="8" t="s">
        <v>349</v>
      </c>
      <c r="F480" t="s">
        <v>5</v>
      </c>
      <c r="G480" t="s">
        <v>4</v>
      </c>
      <c r="H480" s="4">
        <v>1.7268292682926831</v>
      </c>
      <c r="I480" t="str">
        <f t="shared" si="7"/>
        <v>Bagre bagreCatfish</v>
      </c>
    </row>
    <row r="481" spans="1:9" x14ac:dyDescent="0.35">
      <c r="A481" s="8">
        <v>27</v>
      </c>
      <c r="B481" s="8">
        <v>2018</v>
      </c>
      <c r="C481" s="8">
        <v>1</v>
      </c>
      <c r="D481" s="8" t="s">
        <v>174</v>
      </c>
      <c r="E481" s="8" t="s">
        <v>349</v>
      </c>
      <c r="F481" t="s">
        <v>43</v>
      </c>
      <c r="G481" t="s">
        <v>57</v>
      </c>
      <c r="H481" s="4">
        <v>17.843902439024394</v>
      </c>
      <c r="I481" t="str">
        <f t="shared" si="7"/>
        <v>Cynoscion virescensSeatrout</v>
      </c>
    </row>
    <row r="482" spans="1:9" x14ac:dyDescent="0.35">
      <c r="A482" s="8">
        <v>27</v>
      </c>
      <c r="B482" s="8">
        <v>2018</v>
      </c>
      <c r="C482" s="8">
        <v>1</v>
      </c>
      <c r="D482" s="8" t="s">
        <v>174</v>
      </c>
      <c r="E482" s="8" t="s">
        <v>349</v>
      </c>
      <c r="F482" t="s">
        <v>40</v>
      </c>
      <c r="G482" t="s">
        <v>35</v>
      </c>
      <c r="H482" s="4">
        <v>9.2097560975609767</v>
      </c>
      <c r="I482" t="str">
        <f t="shared" si="7"/>
        <v>Macrodon ancylodonBangamary</v>
      </c>
    </row>
    <row r="483" spans="1:9" x14ac:dyDescent="0.35">
      <c r="A483" s="8">
        <v>27</v>
      </c>
      <c r="B483" s="8">
        <v>2018</v>
      </c>
      <c r="C483" s="8">
        <v>1</v>
      </c>
      <c r="D483" s="8" t="s">
        <v>174</v>
      </c>
      <c r="E483" s="8" t="s">
        <v>349</v>
      </c>
      <c r="F483" t="s">
        <v>39</v>
      </c>
      <c r="G483" t="s">
        <v>288</v>
      </c>
      <c r="H483" s="4">
        <v>55.834146341463409</v>
      </c>
      <c r="I483" t="str">
        <f t="shared" si="7"/>
        <v>Colomesus psittacusBanded puffer</v>
      </c>
    </row>
    <row r="484" spans="1:9" x14ac:dyDescent="0.35">
      <c r="A484" s="8">
        <v>27</v>
      </c>
      <c r="B484" s="8">
        <v>2018</v>
      </c>
      <c r="C484" s="8">
        <v>1</v>
      </c>
      <c r="D484" s="8" t="s">
        <v>174</v>
      </c>
      <c r="E484" s="8" t="s">
        <v>349</v>
      </c>
      <c r="F484" t="s">
        <v>50</v>
      </c>
      <c r="G484" t="s">
        <v>56</v>
      </c>
      <c r="H484" s="4">
        <v>34.536585365853661</v>
      </c>
      <c r="I484" t="str">
        <f t="shared" si="7"/>
        <v>Trichiurus lepturusSilverbelt</v>
      </c>
    </row>
    <row r="485" spans="1:9" x14ac:dyDescent="0.35">
      <c r="A485" s="8">
        <v>27</v>
      </c>
      <c r="B485" s="8">
        <v>2018</v>
      </c>
      <c r="C485" s="8">
        <v>1</v>
      </c>
      <c r="D485" s="8" t="s">
        <v>174</v>
      </c>
      <c r="E485" s="8" t="s">
        <v>349</v>
      </c>
      <c r="F485" t="s">
        <v>6</v>
      </c>
      <c r="G485" t="s">
        <v>37</v>
      </c>
      <c r="H485" s="4">
        <v>1.1512195121951221</v>
      </c>
      <c r="I485" t="str">
        <f t="shared" si="7"/>
        <v>Symphurus plagusiaTongue fish</v>
      </c>
    </row>
    <row r="486" spans="1:9" x14ac:dyDescent="0.35">
      <c r="A486" s="8">
        <v>27</v>
      </c>
      <c r="B486" s="8">
        <v>2018</v>
      </c>
      <c r="C486" s="8">
        <v>1</v>
      </c>
      <c r="D486" s="8" t="s">
        <v>174</v>
      </c>
      <c r="E486" s="8" t="s">
        <v>349</v>
      </c>
      <c r="F486" t="s">
        <v>7</v>
      </c>
      <c r="G486" t="s">
        <v>289</v>
      </c>
      <c r="H486" s="4">
        <v>2.3024390243902442</v>
      </c>
      <c r="I486" t="str">
        <f t="shared" si="7"/>
        <v>Achirus achirusDrab sole</v>
      </c>
    </row>
    <row r="487" spans="1:9" x14ac:dyDescent="0.35">
      <c r="A487" s="8">
        <v>27</v>
      </c>
      <c r="B487" s="8">
        <v>2018</v>
      </c>
      <c r="C487" s="8">
        <v>1</v>
      </c>
      <c r="D487" s="8" t="s">
        <v>174</v>
      </c>
      <c r="E487" s="8" t="s">
        <v>349</v>
      </c>
      <c r="F487" t="s">
        <v>1</v>
      </c>
      <c r="G487" t="s">
        <v>291</v>
      </c>
      <c r="H487" s="4">
        <v>6.9073170731707325</v>
      </c>
      <c r="I487" t="str">
        <f t="shared" si="7"/>
        <v>Dastyis guttataLongnose stingray</v>
      </c>
    </row>
    <row r="488" spans="1:9" x14ac:dyDescent="0.35">
      <c r="A488" s="8">
        <v>27</v>
      </c>
      <c r="B488" s="8">
        <v>2018</v>
      </c>
      <c r="C488" s="8">
        <v>1</v>
      </c>
      <c r="D488" s="8" t="s">
        <v>174</v>
      </c>
      <c r="E488" s="8" t="s">
        <v>349</v>
      </c>
      <c r="F488" t="s">
        <v>129</v>
      </c>
      <c r="G488" t="s">
        <v>306</v>
      </c>
      <c r="H488" s="4">
        <v>4.6048780487804883</v>
      </c>
      <c r="I488" t="str">
        <f t="shared" si="7"/>
        <v>Dasyatis geijskesiSharpsnout stingray</v>
      </c>
    </row>
    <row r="489" spans="1:9" x14ac:dyDescent="0.35">
      <c r="A489" s="8">
        <v>27</v>
      </c>
      <c r="B489" s="8">
        <v>2018</v>
      </c>
      <c r="C489" s="8">
        <v>1</v>
      </c>
      <c r="D489" s="8" t="s">
        <v>174</v>
      </c>
      <c r="E489" s="8" t="s">
        <v>349</v>
      </c>
      <c r="F489" t="s">
        <v>2</v>
      </c>
      <c r="G489" t="s">
        <v>307</v>
      </c>
      <c r="H489" s="4">
        <v>4.0292682926829269</v>
      </c>
      <c r="I489" t="str">
        <f t="shared" si="7"/>
        <v>Gymnura micruraButterfly stingray</v>
      </c>
    </row>
    <row r="490" spans="1:9" x14ac:dyDescent="0.35">
      <c r="A490" s="8">
        <v>28</v>
      </c>
      <c r="B490" s="8">
        <v>2018</v>
      </c>
      <c r="C490" s="8">
        <v>2</v>
      </c>
      <c r="D490" s="8" t="s">
        <v>175</v>
      </c>
      <c r="E490" s="8" t="s">
        <v>349</v>
      </c>
      <c r="F490" t="s">
        <v>276</v>
      </c>
      <c r="G490" t="s">
        <v>277</v>
      </c>
      <c r="H490" s="4">
        <v>345.87520933824044</v>
      </c>
      <c r="I490" t="str">
        <f t="shared" si="7"/>
        <v>Xiphopenaeus kroyeriSeabob</v>
      </c>
    </row>
    <row r="491" spans="1:9" x14ac:dyDescent="0.35">
      <c r="A491" s="8">
        <v>28</v>
      </c>
      <c r="B491" s="8">
        <v>2018</v>
      </c>
      <c r="C491" s="8">
        <v>2</v>
      </c>
      <c r="D491" s="8" t="s">
        <v>175</v>
      </c>
      <c r="E491" s="8" t="s">
        <v>349</v>
      </c>
      <c r="F491" t="s">
        <v>15</v>
      </c>
      <c r="G491" t="s">
        <v>16</v>
      </c>
      <c r="H491" s="4">
        <v>38.293326748162336</v>
      </c>
      <c r="I491" t="str">
        <f t="shared" si="7"/>
        <v>Nebris micropsButterfish</v>
      </c>
    </row>
    <row r="492" spans="1:9" x14ac:dyDescent="0.35">
      <c r="A492" s="8">
        <v>28</v>
      </c>
      <c r="B492" s="8">
        <v>2018</v>
      </c>
      <c r="C492" s="8">
        <v>2</v>
      </c>
      <c r="D492" s="8" t="s">
        <v>175</v>
      </c>
      <c r="E492" s="8" t="s">
        <v>349</v>
      </c>
      <c r="F492" t="s">
        <v>121</v>
      </c>
      <c r="G492" t="s">
        <v>44</v>
      </c>
      <c r="H492" s="4">
        <v>2.2778353072132691</v>
      </c>
      <c r="I492" t="str">
        <f t="shared" si="7"/>
        <v>Anchoa mitchilliNegli</v>
      </c>
    </row>
    <row r="493" spans="1:9" x14ac:dyDescent="0.35">
      <c r="A493" s="8">
        <v>28</v>
      </c>
      <c r="B493" s="8">
        <v>2018</v>
      </c>
      <c r="C493" s="8">
        <v>2</v>
      </c>
      <c r="D493" s="8" t="s">
        <v>175</v>
      </c>
      <c r="E493" s="8" t="s">
        <v>349</v>
      </c>
      <c r="F493" t="s">
        <v>42</v>
      </c>
      <c r="G493" t="s">
        <v>126</v>
      </c>
      <c r="H493" s="4">
        <v>7.4116116286765807</v>
      </c>
      <c r="I493" t="str">
        <f t="shared" si="7"/>
        <v>Paralonchurus  elegansChinese Butterfish</v>
      </c>
    </row>
    <row r="494" spans="1:9" x14ac:dyDescent="0.35">
      <c r="A494" s="8">
        <v>28</v>
      </c>
      <c r="B494" s="8">
        <v>2018</v>
      </c>
      <c r="C494" s="8">
        <v>2</v>
      </c>
      <c r="D494" s="8" t="s">
        <v>175</v>
      </c>
      <c r="E494" s="8" t="s">
        <v>349</v>
      </c>
      <c r="F494" t="s">
        <v>350</v>
      </c>
      <c r="G494" t="s">
        <v>12</v>
      </c>
      <c r="H494" s="4">
        <v>2.01595836300003</v>
      </c>
      <c r="I494" t="str">
        <f t="shared" si="7"/>
        <v>Batrachoides  surinamensisPacu</v>
      </c>
    </row>
    <row r="495" spans="1:9" x14ac:dyDescent="0.35">
      <c r="A495" s="8">
        <v>28</v>
      </c>
      <c r="B495" s="8">
        <v>2018</v>
      </c>
      <c r="C495" s="8">
        <v>2</v>
      </c>
      <c r="D495" s="8" t="s">
        <v>175</v>
      </c>
      <c r="E495" s="8" t="s">
        <v>349</v>
      </c>
      <c r="F495" t="s">
        <v>43</v>
      </c>
      <c r="G495" t="s">
        <v>57</v>
      </c>
      <c r="H495" s="4">
        <v>34.587520933824038</v>
      </c>
      <c r="I495" t="str">
        <f t="shared" si="7"/>
        <v>Cynoscion virescensSeatrout</v>
      </c>
    </row>
    <row r="496" spans="1:9" x14ac:dyDescent="0.35">
      <c r="A496" s="8">
        <v>28</v>
      </c>
      <c r="B496" s="8">
        <v>2018</v>
      </c>
      <c r="C496" s="8">
        <v>2</v>
      </c>
      <c r="D496" s="8" t="s">
        <v>175</v>
      </c>
      <c r="E496" s="8" t="s">
        <v>349</v>
      </c>
      <c r="F496" t="s">
        <v>40</v>
      </c>
      <c r="G496" t="s">
        <v>35</v>
      </c>
      <c r="H496" s="4">
        <v>41.505025120588847</v>
      </c>
      <c r="I496" t="str">
        <f t="shared" si="7"/>
        <v>Macrodon ancylodonBangamary</v>
      </c>
    </row>
    <row r="497" spans="1:9" x14ac:dyDescent="0.35">
      <c r="A497" s="8">
        <v>28</v>
      </c>
      <c r="B497" s="8">
        <v>2018</v>
      </c>
      <c r="C497" s="8">
        <v>2</v>
      </c>
      <c r="D497" s="8" t="s">
        <v>175</v>
      </c>
      <c r="E497" s="8" t="s">
        <v>349</v>
      </c>
      <c r="F497" t="s">
        <v>50</v>
      </c>
      <c r="G497" t="s">
        <v>56</v>
      </c>
      <c r="H497" s="4">
        <v>2.5693586979412149</v>
      </c>
      <c r="I497" t="str">
        <f t="shared" si="7"/>
        <v>Trichiurus lepturusSilverbelt</v>
      </c>
    </row>
    <row r="498" spans="1:9" x14ac:dyDescent="0.35">
      <c r="A498" s="8">
        <v>28</v>
      </c>
      <c r="B498" s="8">
        <v>2018</v>
      </c>
      <c r="C498" s="8">
        <v>2</v>
      </c>
      <c r="D498" s="8" t="s">
        <v>175</v>
      </c>
      <c r="E498" s="8" t="s">
        <v>349</v>
      </c>
      <c r="F498" t="s">
        <v>5</v>
      </c>
      <c r="G498" t="s">
        <v>4</v>
      </c>
      <c r="H498" s="4">
        <v>3.4291056468676975</v>
      </c>
      <c r="I498" t="str">
        <f t="shared" si="7"/>
        <v>Bagre bagreCatfish</v>
      </c>
    </row>
    <row r="499" spans="1:9" x14ac:dyDescent="0.35">
      <c r="A499" s="8">
        <v>28</v>
      </c>
      <c r="B499" s="8">
        <v>2018</v>
      </c>
      <c r="C499" s="8">
        <v>2</v>
      </c>
      <c r="D499" s="8" t="s">
        <v>175</v>
      </c>
      <c r="E499" s="8" t="s">
        <v>349</v>
      </c>
      <c r="F499" t="s">
        <v>58</v>
      </c>
      <c r="G499" t="s">
        <v>59</v>
      </c>
      <c r="H499" s="4">
        <v>9.3880413963236684</v>
      </c>
      <c r="I499" t="str">
        <f t="shared" si="7"/>
        <v>Stellifer rastriferRockhead</v>
      </c>
    </row>
    <row r="500" spans="1:9" x14ac:dyDescent="0.35">
      <c r="A500" s="8">
        <v>28</v>
      </c>
      <c r="B500" s="8">
        <v>2018</v>
      </c>
      <c r="C500" s="8">
        <v>2</v>
      </c>
      <c r="D500" s="8" t="s">
        <v>175</v>
      </c>
      <c r="E500" s="8" t="s">
        <v>349</v>
      </c>
      <c r="F500" t="s">
        <v>6</v>
      </c>
      <c r="G500" t="s">
        <v>37</v>
      </c>
      <c r="H500" s="4">
        <v>5.3660068191618455</v>
      </c>
      <c r="I500" t="str">
        <f t="shared" si="7"/>
        <v>Symphurus plagusiaTongue fish</v>
      </c>
    </row>
    <row r="501" spans="1:9" x14ac:dyDescent="0.35">
      <c r="A501" s="8">
        <v>29</v>
      </c>
      <c r="B501" s="8">
        <v>2018</v>
      </c>
      <c r="C501" s="8">
        <v>2</v>
      </c>
      <c r="D501" s="8" t="s">
        <v>173</v>
      </c>
      <c r="E501" s="8" t="s">
        <v>349</v>
      </c>
      <c r="F501" t="s">
        <v>276</v>
      </c>
      <c r="G501" t="s">
        <v>277</v>
      </c>
      <c r="H501" s="4">
        <v>73.293298599363951</v>
      </c>
      <c r="I501" t="str">
        <f t="shared" si="7"/>
        <v>Xiphopenaeus kroyeriSeabob</v>
      </c>
    </row>
    <row r="502" spans="1:9" x14ac:dyDescent="0.35">
      <c r="A502" s="8">
        <v>29</v>
      </c>
      <c r="B502" s="8">
        <v>2018</v>
      </c>
      <c r="C502" s="8">
        <v>2</v>
      </c>
      <c r="D502" s="8" t="s">
        <v>173</v>
      </c>
      <c r="E502" s="8" t="s">
        <v>349</v>
      </c>
      <c r="F502" t="s">
        <v>278</v>
      </c>
      <c r="G502" t="s">
        <v>353</v>
      </c>
      <c r="H502" s="4">
        <v>10.909742878408553</v>
      </c>
      <c r="I502" t="str">
        <f t="shared" si="7"/>
        <v>Nematopalaemon schmittiWhitebelly shrimp</v>
      </c>
    </row>
    <row r="503" spans="1:9" x14ac:dyDescent="0.35">
      <c r="A503" s="8">
        <v>29</v>
      </c>
      <c r="B503" s="8">
        <v>2018</v>
      </c>
      <c r="C503" s="8">
        <v>2</v>
      </c>
      <c r="D503" s="8" t="s">
        <v>173</v>
      </c>
      <c r="E503" s="8" t="s">
        <v>349</v>
      </c>
      <c r="F503" t="s">
        <v>297</v>
      </c>
      <c r="G503" t="s">
        <v>298</v>
      </c>
      <c r="H503" s="4">
        <v>2.2154408282021789</v>
      </c>
      <c r="I503" t="str">
        <f t="shared" si="7"/>
        <v>Callinectes ornatusSheriga crab</v>
      </c>
    </row>
    <row r="504" spans="1:9" x14ac:dyDescent="0.35">
      <c r="A504" s="8">
        <v>29</v>
      </c>
      <c r="B504" s="8">
        <v>2018</v>
      </c>
      <c r="C504" s="8">
        <v>2</v>
      </c>
      <c r="D504" s="8" t="s">
        <v>173</v>
      </c>
      <c r="E504" s="8" t="s">
        <v>349</v>
      </c>
      <c r="F504" t="s">
        <v>325</v>
      </c>
      <c r="G504" t="s">
        <v>345</v>
      </c>
      <c r="H504" s="4">
        <v>0.58644021922998846</v>
      </c>
      <c r="I504" t="str">
        <f t="shared" si="7"/>
        <v>Calappa sulcataYellow box crab</v>
      </c>
    </row>
    <row r="505" spans="1:9" x14ac:dyDescent="0.35">
      <c r="A505" s="8">
        <v>29</v>
      </c>
      <c r="B505" s="8">
        <v>2018</v>
      </c>
      <c r="C505" s="8">
        <v>2</v>
      </c>
      <c r="D505" s="8" t="s">
        <v>173</v>
      </c>
      <c r="E505" s="8" t="s">
        <v>349</v>
      </c>
      <c r="F505" t="s">
        <v>299</v>
      </c>
      <c r="G505" t="s">
        <v>300</v>
      </c>
      <c r="H505" s="4">
        <v>1.0914304080113675</v>
      </c>
      <c r="I505" t="str">
        <f t="shared" si="7"/>
        <v>Hepatus gronoviiBox crab</v>
      </c>
    </row>
    <row r="506" spans="1:9" x14ac:dyDescent="0.35">
      <c r="A506" s="8">
        <v>29</v>
      </c>
      <c r="B506" s="8">
        <v>2018</v>
      </c>
      <c r="C506" s="8">
        <v>2</v>
      </c>
      <c r="D506" s="8" t="s">
        <v>173</v>
      </c>
      <c r="E506" s="8" t="s">
        <v>349</v>
      </c>
      <c r="F506" t="s">
        <v>85</v>
      </c>
      <c r="G506" t="s">
        <v>279</v>
      </c>
      <c r="H506" s="4">
        <v>0.40725015224304761</v>
      </c>
      <c r="I506" t="str">
        <f t="shared" si="7"/>
        <v>Squilla mantisMantis shrimp</v>
      </c>
    </row>
    <row r="507" spans="1:9" x14ac:dyDescent="0.35">
      <c r="A507" s="8">
        <v>29</v>
      </c>
      <c r="B507" s="8">
        <v>2018</v>
      </c>
      <c r="C507" s="8">
        <v>2</v>
      </c>
      <c r="D507" s="8" t="s">
        <v>173</v>
      </c>
      <c r="E507" s="8" t="s">
        <v>349</v>
      </c>
      <c r="F507" t="s">
        <v>350</v>
      </c>
      <c r="G507" t="s">
        <v>12</v>
      </c>
      <c r="H507" s="4">
        <v>1.8733507003180185</v>
      </c>
      <c r="I507" t="str">
        <f t="shared" si="7"/>
        <v>Batrachoides  surinamensisPacu</v>
      </c>
    </row>
    <row r="508" spans="1:9" x14ac:dyDescent="0.35">
      <c r="A508" s="8">
        <v>29</v>
      </c>
      <c r="B508" s="8">
        <v>2018</v>
      </c>
      <c r="C508" s="8">
        <v>2</v>
      </c>
      <c r="D508" s="8" t="s">
        <v>173</v>
      </c>
      <c r="E508" s="8" t="s">
        <v>349</v>
      </c>
      <c r="F508" t="s">
        <v>283</v>
      </c>
      <c r="G508" t="s">
        <v>284</v>
      </c>
      <c r="H508" s="4">
        <v>1.0262703836524798</v>
      </c>
      <c r="I508" t="str">
        <f t="shared" si="7"/>
        <v>Paralonchurus braziliensisBanded croaker</v>
      </c>
    </row>
    <row r="509" spans="1:9" x14ac:dyDescent="0.35">
      <c r="A509" s="8">
        <v>29</v>
      </c>
      <c r="B509" s="8">
        <v>2018</v>
      </c>
      <c r="C509" s="8">
        <v>2</v>
      </c>
      <c r="D509" s="8" t="s">
        <v>173</v>
      </c>
      <c r="E509" s="8" t="s">
        <v>349</v>
      </c>
      <c r="F509" t="s">
        <v>15</v>
      </c>
      <c r="G509" t="s">
        <v>16</v>
      </c>
      <c r="H509" s="4">
        <v>7.28163272210569</v>
      </c>
      <c r="I509" t="str">
        <f t="shared" si="7"/>
        <v>Nebris micropsButterfish</v>
      </c>
    </row>
    <row r="510" spans="1:9" x14ac:dyDescent="0.35">
      <c r="A510" s="8">
        <v>29</v>
      </c>
      <c r="B510" s="8">
        <v>2018</v>
      </c>
      <c r="C510" s="8">
        <v>2</v>
      </c>
      <c r="D510" s="8" t="s">
        <v>173</v>
      </c>
      <c r="E510" s="8" t="s">
        <v>349</v>
      </c>
      <c r="F510" t="s">
        <v>42</v>
      </c>
      <c r="G510" t="s">
        <v>126</v>
      </c>
      <c r="H510" s="4">
        <v>1.7104506394207997</v>
      </c>
      <c r="I510" t="str">
        <f t="shared" si="7"/>
        <v>Paralonchurus  elegansChinese Butterfish</v>
      </c>
    </row>
    <row r="511" spans="1:9" x14ac:dyDescent="0.35">
      <c r="A511" s="8">
        <v>29</v>
      </c>
      <c r="B511" s="8">
        <v>2018</v>
      </c>
      <c r="C511" s="8">
        <v>2</v>
      </c>
      <c r="D511" s="8" t="s">
        <v>173</v>
      </c>
      <c r="E511" s="8" t="s">
        <v>349</v>
      </c>
      <c r="F511" t="s">
        <v>41</v>
      </c>
      <c r="G511" t="s">
        <v>346</v>
      </c>
      <c r="H511" s="4">
        <v>0.17919006698694093</v>
      </c>
      <c r="I511" t="str">
        <f t="shared" si="7"/>
        <v xml:space="preserve">Chaetodipterus faberSea Donkey </v>
      </c>
    </row>
    <row r="512" spans="1:9" x14ac:dyDescent="0.35">
      <c r="A512" s="8">
        <v>29</v>
      </c>
      <c r="B512" s="8">
        <v>2018</v>
      </c>
      <c r="C512" s="8">
        <v>2</v>
      </c>
      <c r="D512" s="8" t="s">
        <v>173</v>
      </c>
      <c r="E512" s="8" t="s">
        <v>349</v>
      </c>
      <c r="F512" t="s">
        <v>54</v>
      </c>
      <c r="G512" t="s">
        <v>55</v>
      </c>
      <c r="H512" s="4">
        <v>0.40725015224304761</v>
      </c>
      <c r="I512" t="str">
        <f t="shared" si="7"/>
        <v>Arius proopsCuirass</v>
      </c>
    </row>
    <row r="513" spans="1:9" x14ac:dyDescent="0.35">
      <c r="A513" s="8">
        <v>29</v>
      </c>
      <c r="B513" s="8">
        <v>2018</v>
      </c>
      <c r="C513" s="8">
        <v>2</v>
      </c>
      <c r="D513" s="8" t="s">
        <v>173</v>
      </c>
      <c r="E513" s="8" t="s">
        <v>349</v>
      </c>
      <c r="F513" t="s">
        <v>43</v>
      </c>
      <c r="G513" t="s">
        <v>57</v>
      </c>
      <c r="H513" s="4">
        <v>7.5259828134515194</v>
      </c>
      <c r="I513" t="str">
        <f t="shared" si="7"/>
        <v>Cynoscion virescensSeatrout</v>
      </c>
    </row>
    <row r="514" spans="1:9" x14ac:dyDescent="0.35">
      <c r="A514" s="8">
        <v>29</v>
      </c>
      <c r="B514" s="8">
        <v>2018</v>
      </c>
      <c r="C514" s="8">
        <v>2</v>
      </c>
      <c r="D514" s="8" t="s">
        <v>173</v>
      </c>
      <c r="E514" s="8" t="s">
        <v>349</v>
      </c>
      <c r="F514" t="s">
        <v>40</v>
      </c>
      <c r="G514" t="s">
        <v>35</v>
      </c>
      <c r="H514" s="4">
        <v>1.9385107246769064</v>
      </c>
      <c r="I514" t="str">
        <f t="shared" si="7"/>
        <v>Macrodon ancylodonBangamary</v>
      </c>
    </row>
    <row r="515" spans="1:9" x14ac:dyDescent="0.35">
      <c r="A515" s="8">
        <v>29</v>
      </c>
      <c r="B515" s="8">
        <v>2018</v>
      </c>
      <c r="C515" s="8">
        <v>2</v>
      </c>
      <c r="D515" s="8" t="s">
        <v>173</v>
      </c>
      <c r="E515" s="8" t="s">
        <v>349</v>
      </c>
      <c r="F515" t="s">
        <v>21</v>
      </c>
      <c r="G515" t="s">
        <v>59</v>
      </c>
      <c r="H515" s="4">
        <v>0.667890249678598</v>
      </c>
      <c r="I515" t="str">
        <f t="shared" ref="I515:I578" si="8">CONCATENATE(F515,G515)</f>
        <v>Stellifer micropsRockhead</v>
      </c>
    </row>
    <row r="516" spans="1:9" x14ac:dyDescent="0.35">
      <c r="A516" s="8">
        <v>29</v>
      </c>
      <c r="B516" s="8">
        <v>2018</v>
      </c>
      <c r="C516" s="8">
        <v>2</v>
      </c>
      <c r="D516" s="8" t="s">
        <v>173</v>
      </c>
      <c r="E516" s="8" t="s">
        <v>349</v>
      </c>
      <c r="F516" t="s">
        <v>5</v>
      </c>
      <c r="G516" t="s">
        <v>4</v>
      </c>
      <c r="H516" s="4">
        <v>2.3131808647405099</v>
      </c>
      <c r="I516" t="str">
        <f t="shared" si="8"/>
        <v>Bagre bagreCatfish</v>
      </c>
    </row>
    <row r="517" spans="1:9" x14ac:dyDescent="0.35">
      <c r="A517" s="8">
        <v>29</v>
      </c>
      <c r="B517" s="8">
        <v>2018</v>
      </c>
      <c r="C517" s="8">
        <v>2</v>
      </c>
      <c r="D517" s="8" t="s">
        <v>173</v>
      </c>
      <c r="E517" s="8" t="s">
        <v>349</v>
      </c>
      <c r="F517" t="s">
        <v>58</v>
      </c>
      <c r="G517" t="s">
        <v>59</v>
      </c>
      <c r="H517" s="4">
        <v>1.2543304689085866</v>
      </c>
      <c r="I517" t="str">
        <f t="shared" si="8"/>
        <v>Stellifer rastriferRockhead</v>
      </c>
    </row>
    <row r="518" spans="1:9" x14ac:dyDescent="0.35">
      <c r="A518" s="8">
        <v>29</v>
      </c>
      <c r="B518" s="8">
        <v>2018</v>
      </c>
      <c r="C518" s="8">
        <v>2</v>
      </c>
      <c r="D518" s="8" t="s">
        <v>173</v>
      </c>
      <c r="E518" s="8" t="s">
        <v>349</v>
      </c>
      <c r="F518" t="s">
        <v>6</v>
      </c>
      <c r="G518" t="s">
        <v>37</v>
      </c>
      <c r="H518" s="4">
        <v>3.4046112727518771</v>
      </c>
      <c r="I518" t="str">
        <f t="shared" si="8"/>
        <v>Symphurus plagusiaTongue fish</v>
      </c>
    </row>
    <row r="519" spans="1:9" x14ac:dyDescent="0.35">
      <c r="A519" s="8">
        <v>29</v>
      </c>
      <c r="B519" s="8">
        <v>2018</v>
      </c>
      <c r="C519" s="8">
        <v>2</v>
      </c>
      <c r="D519" s="8" t="s">
        <v>173</v>
      </c>
      <c r="E519" s="8" t="s">
        <v>349</v>
      </c>
      <c r="F519" t="s">
        <v>7</v>
      </c>
      <c r="G519" t="s">
        <v>289</v>
      </c>
      <c r="H519" s="4">
        <v>0.10588503958319237</v>
      </c>
      <c r="I519" t="str">
        <f t="shared" si="8"/>
        <v>Achirus achirusDrab sole</v>
      </c>
    </row>
    <row r="520" spans="1:9" x14ac:dyDescent="0.35">
      <c r="A520" s="8">
        <v>29</v>
      </c>
      <c r="B520" s="8">
        <v>2018</v>
      </c>
      <c r="C520" s="8">
        <v>2</v>
      </c>
      <c r="D520" s="8" t="s">
        <v>173</v>
      </c>
      <c r="E520" s="8" t="s">
        <v>349</v>
      </c>
      <c r="F520" t="s">
        <v>80</v>
      </c>
      <c r="G520" t="s">
        <v>290</v>
      </c>
      <c r="H520" s="4">
        <v>1.0588503958319238</v>
      </c>
      <c r="I520" t="str">
        <f t="shared" si="8"/>
        <v>Apionichthys dumeriliLongtail sole</v>
      </c>
    </row>
    <row r="521" spans="1:9" x14ac:dyDescent="0.35">
      <c r="A521" s="8">
        <v>29</v>
      </c>
      <c r="B521" s="8">
        <v>2018</v>
      </c>
      <c r="C521" s="8">
        <v>2</v>
      </c>
      <c r="D521" s="8" t="s">
        <v>173</v>
      </c>
      <c r="E521" s="8" t="s">
        <v>349</v>
      </c>
      <c r="F521" t="s">
        <v>2</v>
      </c>
      <c r="G521" t="s">
        <v>307</v>
      </c>
      <c r="H521" s="4">
        <v>0.43</v>
      </c>
      <c r="I521" t="str">
        <f t="shared" si="8"/>
        <v>Gymnura micruraButterfly stingray</v>
      </c>
    </row>
    <row r="522" spans="1:9" x14ac:dyDescent="0.35">
      <c r="A522" s="8">
        <v>30</v>
      </c>
      <c r="B522" s="8">
        <v>2018</v>
      </c>
      <c r="C522" s="8">
        <v>2</v>
      </c>
      <c r="D522" s="8" t="s">
        <v>174</v>
      </c>
      <c r="E522" s="8" t="s">
        <v>349</v>
      </c>
      <c r="F522" t="s">
        <v>276</v>
      </c>
      <c r="G522" t="s">
        <v>277</v>
      </c>
      <c r="H522" s="4">
        <v>361.1</v>
      </c>
      <c r="I522" t="str">
        <f t="shared" si="8"/>
        <v>Xiphopenaeus kroyeriSeabob</v>
      </c>
    </row>
    <row r="523" spans="1:9" x14ac:dyDescent="0.35">
      <c r="A523" s="8">
        <v>30</v>
      </c>
      <c r="B523" s="8">
        <v>2018</v>
      </c>
      <c r="C523" s="8">
        <v>2</v>
      </c>
      <c r="D523" s="8" t="s">
        <v>174</v>
      </c>
      <c r="E523" s="8" t="s">
        <v>349</v>
      </c>
      <c r="F523" t="s">
        <v>85</v>
      </c>
      <c r="G523" t="s">
        <v>86</v>
      </c>
      <c r="H523" s="4">
        <v>0.54</v>
      </c>
      <c r="I523" t="str">
        <f t="shared" si="8"/>
        <v>Squilla mantisMantis Shrimp</v>
      </c>
    </row>
    <row r="524" spans="1:9" x14ac:dyDescent="0.35">
      <c r="A524" s="8">
        <v>30</v>
      </c>
      <c r="B524" s="8">
        <v>2018</v>
      </c>
      <c r="C524" s="8">
        <v>2</v>
      </c>
      <c r="D524" s="8" t="s">
        <v>174</v>
      </c>
      <c r="E524" s="8" t="s">
        <v>349</v>
      </c>
      <c r="F524" t="s">
        <v>299</v>
      </c>
      <c r="G524" t="s">
        <v>300</v>
      </c>
      <c r="H524" s="4">
        <v>0.3</v>
      </c>
      <c r="I524" t="str">
        <f t="shared" si="8"/>
        <v>Hepatus gronoviiBox crab</v>
      </c>
    </row>
    <row r="525" spans="1:9" x14ac:dyDescent="0.35">
      <c r="A525" s="8">
        <v>30</v>
      </c>
      <c r="B525" s="8">
        <v>2018</v>
      </c>
      <c r="C525" s="8">
        <v>2</v>
      </c>
      <c r="D525" s="8" t="s">
        <v>174</v>
      </c>
      <c r="E525" s="8" t="s">
        <v>349</v>
      </c>
      <c r="F525" t="s">
        <v>283</v>
      </c>
      <c r="G525" t="s">
        <v>284</v>
      </c>
      <c r="H525" s="4">
        <v>2.1800000000000002</v>
      </c>
      <c r="I525" t="str">
        <f t="shared" si="8"/>
        <v>Paralonchurus braziliensisBanded croaker</v>
      </c>
    </row>
    <row r="526" spans="1:9" x14ac:dyDescent="0.35">
      <c r="A526" s="8">
        <v>30</v>
      </c>
      <c r="B526" s="8">
        <v>2018</v>
      </c>
      <c r="C526" s="8">
        <v>2</v>
      </c>
      <c r="D526" s="8" t="s">
        <v>174</v>
      </c>
      <c r="E526" s="8" t="s">
        <v>349</v>
      </c>
      <c r="F526" t="s">
        <v>15</v>
      </c>
      <c r="G526" t="s">
        <v>16</v>
      </c>
      <c r="H526" s="4">
        <v>6.76</v>
      </c>
      <c r="I526" t="str">
        <f t="shared" si="8"/>
        <v>Nebris micropsButterfish</v>
      </c>
    </row>
    <row r="527" spans="1:9" x14ac:dyDescent="0.35">
      <c r="A527" s="8">
        <v>30</v>
      </c>
      <c r="B527" s="8">
        <v>2018</v>
      </c>
      <c r="C527" s="8">
        <v>2</v>
      </c>
      <c r="D527" s="8" t="s">
        <v>174</v>
      </c>
      <c r="E527" s="8" t="s">
        <v>349</v>
      </c>
      <c r="F527" t="s">
        <v>42</v>
      </c>
      <c r="G527" t="s">
        <v>126</v>
      </c>
      <c r="H527" s="4">
        <v>0.75</v>
      </c>
      <c r="I527" t="str">
        <f t="shared" si="8"/>
        <v>Paralonchurus  elegansChinese Butterfish</v>
      </c>
    </row>
    <row r="528" spans="1:9" x14ac:dyDescent="0.35">
      <c r="A528" s="8">
        <v>30</v>
      </c>
      <c r="B528" s="8">
        <v>2018</v>
      </c>
      <c r="C528" s="8">
        <v>2</v>
      </c>
      <c r="D528" s="8" t="s">
        <v>174</v>
      </c>
      <c r="E528" s="8" t="s">
        <v>349</v>
      </c>
      <c r="F528" t="s">
        <v>63</v>
      </c>
      <c r="G528" t="s">
        <v>62</v>
      </c>
      <c r="H528" s="4">
        <v>0.04</v>
      </c>
      <c r="I528" t="str">
        <f t="shared" si="8"/>
        <v>Selene browniMoonfish</v>
      </c>
    </row>
    <row r="529" spans="1:9" x14ac:dyDescent="0.35">
      <c r="A529" s="8">
        <v>30</v>
      </c>
      <c r="B529" s="8">
        <v>2018</v>
      </c>
      <c r="C529" s="8">
        <v>2</v>
      </c>
      <c r="D529" s="8" t="s">
        <v>174</v>
      </c>
      <c r="E529" s="8" t="s">
        <v>349</v>
      </c>
      <c r="F529" t="s">
        <v>350</v>
      </c>
      <c r="G529" t="s">
        <v>12</v>
      </c>
      <c r="H529" s="4">
        <v>1.97</v>
      </c>
      <c r="I529" t="str">
        <f t="shared" si="8"/>
        <v>Batrachoides  surinamensisPacu</v>
      </c>
    </row>
    <row r="530" spans="1:9" x14ac:dyDescent="0.35">
      <c r="A530" s="8">
        <v>30</v>
      </c>
      <c r="B530" s="8">
        <v>2018</v>
      </c>
      <c r="C530" s="8">
        <v>2</v>
      </c>
      <c r="D530" s="8" t="s">
        <v>174</v>
      </c>
      <c r="E530" s="8" t="s">
        <v>349</v>
      </c>
      <c r="F530" t="s">
        <v>43</v>
      </c>
      <c r="G530" t="s">
        <v>57</v>
      </c>
      <c r="H530" s="4">
        <v>4.96</v>
      </c>
      <c r="I530" t="str">
        <f t="shared" si="8"/>
        <v>Cynoscion virescensSeatrout</v>
      </c>
    </row>
    <row r="531" spans="1:9" x14ac:dyDescent="0.35">
      <c r="A531" s="8">
        <v>30</v>
      </c>
      <c r="B531" s="8">
        <v>2018</v>
      </c>
      <c r="C531" s="8">
        <v>2</v>
      </c>
      <c r="D531" s="8" t="s">
        <v>174</v>
      </c>
      <c r="E531" s="8" t="s">
        <v>349</v>
      </c>
      <c r="F531" t="s">
        <v>40</v>
      </c>
      <c r="G531" t="s">
        <v>35</v>
      </c>
      <c r="H531" s="4">
        <v>1.29</v>
      </c>
      <c r="I531" t="str">
        <f t="shared" si="8"/>
        <v>Macrodon ancylodonBangamary</v>
      </c>
    </row>
    <row r="532" spans="1:9" x14ac:dyDescent="0.35">
      <c r="A532" s="8">
        <v>30</v>
      </c>
      <c r="B532" s="8">
        <v>2018</v>
      </c>
      <c r="C532" s="8">
        <v>2</v>
      </c>
      <c r="D532" s="8" t="s">
        <v>174</v>
      </c>
      <c r="E532" s="8" t="s">
        <v>349</v>
      </c>
      <c r="F532" t="s">
        <v>50</v>
      </c>
      <c r="G532" t="s">
        <v>56</v>
      </c>
      <c r="H532" s="4">
        <v>0.65</v>
      </c>
      <c r="I532" t="str">
        <f t="shared" si="8"/>
        <v>Trichiurus lepturusSilverbelt</v>
      </c>
    </row>
    <row r="533" spans="1:9" x14ac:dyDescent="0.35">
      <c r="A533" s="8">
        <v>30</v>
      </c>
      <c r="B533" s="8">
        <v>2018</v>
      </c>
      <c r="C533" s="8">
        <v>2</v>
      </c>
      <c r="D533" s="8" t="s">
        <v>174</v>
      </c>
      <c r="E533" s="8" t="s">
        <v>349</v>
      </c>
      <c r="F533" t="s">
        <v>39</v>
      </c>
      <c r="G533" t="s">
        <v>288</v>
      </c>
      <c r="H533" s="4">
        <v>1.81</v>
      </c>
      <c r="I533" t="str">
        <f t="shared" si="8"/>
        <v>Colomesus psittacusBanded puffer</v>
      </c>
    </row>
    <row r="534" spans="1:9" x14ac:dyDescent="0.35">
      <c r="A534" s="8">
        <v>30</v>
      </c>
      <c r="B534" s="8">
        <v>2018</v>
      </c>
      <c r="C534" s="8">
        <v>2</v>
      </c>
      <c r="D534" s="8" t="s">
        <v>174</v>
      </c>
      <c r="E534" s="8" t="s">
        <v>349</v>
      </c>
      <c r="F534" t="s">
        <v>5</v>
      </c>
      <c r="G534" t="s">
        <v>4</v>
      </c>
      <c r="H534" s="4">
        <v>0.37</v>
      </c>
      <c r="I534" t="str">
        <f t="shared" si="8"/>
        <v>Bagre bagreCatfish</v>
      </c>
    </row>
    <row r="535" spans="1:9" x14ac:dyDescent="0.35">
      <c r="A535" s="8">
        <v>30</v>
      </c>
      <c r="B535" s="8">
        <v>2018</v>
      </c>
      <c r="C535" s="8">
        <v>2</v>
      </c>
      <c r="D535" s="8" t="s">
        <v>174</v>
      </c>
      <c r="E535" s="8" t="s">
        <v>349</v>
      </c>
      <c r="F535" t="s">
        <v>58</v>
      </c>
      <c r="G535" t="s">
        <v>59</v>
      </c>
      <c r="H535" s="4">
        <v>2.6</v>
      </c>
      <c r="I535" t="str">
        <f t="shared" si="8"/>
        <v>Stellifer rastriferRockhead</v>
      </c>
    </row>
    <row r="536" spans="1:9" x14ac:dyDescent="0.35">
      <c r="A536" s="8">
        <v>30</v>
      </c>
      <c r="B536" s="8">
        <v>2018</v>
      </c>
      <c r="C536" s="8">
        <v>2</v>
      </c>
      <c r="D536" s="8" t="s">
        <v>174</v>
      </c>
      <c r="E536" s="8" t="s">
        <v>349</v>
      </c>
      <c r="F536" t="s">
        <v>6</v>
      </c>
      <c r="G536" t="s">
        <v>37</v>
      </c>
      <c r="H536" s="4">
        <v>1.32</v>
      </c>
      <c r="I536" t="str">
        <f t="shared" si="8"/>
        <v>Symphurus plagusiaTongue fish</v>
      </c>
    </row>
    <row r="537" spans="1:9" x14ac:dyDescent="0.35">
      <c r="A537" s="8">
        <v>30</v>
      </c>
      <c r="B537" s="8">
        <v>2018</v>
      </c>
      <c r="C537" s="8">
        <v>2</v>
      </c>
      <c r="D537" s="8" t="s">
        <v>174</v>
      </c>
      <c r="E537" s="8" t="s">
        <v>349</v>
      </c>
      <c r="F537" t="s">
        <v>7</v>
      </c>
      <c r="G537" t="s">
        <v>289</v>
      </c>
      <c r="H537" s="4">
        <v>0.16</v>
      </c>
      <c r="I537" t="str">
        <f t="shared" si="8"/>
        <v>Achirus achirusDrab sole</v>
      </c>
    </row>
    <row r="538" spans="1:9" x14ac:dyDescent="0.35">
      <c r="A538" s="8">
        <v>30</v>
      </c>
      <c r="B538" s="8">
        <v>2018</v>
      </c>
      <c r="C538" s="8">
        <v>2</v>
      </c>
      <c r="D538" s="8" t="s">
        <v>174</v>
      </c>
      <c r="E538" s="8" t="s">
        <v>349</v>
      </c>
      <c r="F538" t="s">
        <v>1</v>
      </c>
      <c r="G538" t="s">
        <v>291</v>
      </c>
      <c r="H538" s="4">
        <v>3.88</v>
      </c>
      <c r="I538" t="str">
        <f t="shared" si="8"/>
        <v>Dastyis guttataLongnose stingray</v>
      </c>
    </row>
    <row r="539" spans="1:9" x14ac:dyDescent="0.35">
      <c r="A539" s="8">
        <v>30</v>
      </c>
      <c r="B539" s="8">
        <v>2018</v>
      </c>
      <c r="C539" s="8">
        <v>2</v>
      </c>
      <c r="D539" s="8" t="s">
        <v>174</v>
      </c>
      <c r="E539" s="8" t="s">
        <v>349</v>
      </c>
      <c r="F539" t="s">
        <v>2</v>
      </c>
      <c r="G539" t="s">
        <v>307</v>
      </c>
      <c r="H539" s="4">
        <v>0.55000000000000004</v>
      </c>
      <c r="I539" t="str">
        <f t="shared" si="8"/>
        <v>Gymnura micruraButterfly stingray</v>
      </c>
    </row>
    <row r="540" spans="1:9" x14ac:dyDescent="0.35">
      <c r="A540" s="8">
        <v>30</v>
      </c>
      <c r="B540" s="8">
        <v>2018</v>
      </c>
      <c r="C540" s="8">
        <v>2</v>
      </c>
      <c r="D540" s="8" t="s">
        <v>174</v>
      </c>
      <c r="E540" s="8" t="s">
        <v>349</v>
      </c>
      <c r="F540" t="s">
        <v>3</v>
      </c>
      <c r="G540" t="s">
        <v>308</v>
      </c>
      <c r="H540" s="4">
        <v>3.7</v>
      </c>
      <c r="I540" t="str">
        <f t="shared" si="8"/>
        <v>Ophichtus gomesiShrimp eel</v>
      </c>
    </row>
    <row r="541" spans="1:9" x14ac:dyDescent="0.35">
      <c r="A541" s="8">
        <v>30</v>
      </c>
      <c r="B541" s="8">
        <v>2018</v>
      </c>
      <c r="C541" s="8">
        <v>2</v>
      </c>
      <c r="D541" s="8" t="s">
        <v>174</v>
      </c>
      <c r="E541" s="8" t="s">
        <v>349</v>
      </c>
      <c r="F541" t="s">
        <v>332</v>
      </c>
      <c r="G541" t="s">
        <v>351</v>
      </c>
      <c r="H541" s="4">
        <v>1.26</v>
      </c>
      <c r="I541" t="str">
        <f t="shared" si="8"/>
        <v>Gyrmnothorax ocellatusSawtooth moray</v>
      </c>
    </row>
    <row r="542" spans="1:9" x14ac:dyDescent="0.35">
      <c r="A542" s="8">
        <v>30</v>
      </c>
      <c r="B542" s="8">
        <v>2018</v>
      </c>
      <c r="C542" s="8">
        <v>2</v>
      </c>
      <c r="D542" s="8" t="s">
        <v>174</v>
      </c>
      <c r="E542" s="8" t="s">
        <v>349</v>
      </c>
      <c r="F542" t="s">
        <v>309</v>
      </c>
      <c r="G542" t="s">
        <v>310</v>
      </c>
      <c r="H542" s="4">
        <v>0.93</v>
      </c>
      <c r="I542" t="str">
        <f t="shared" si="8"/>
        <v>Cynoponticus savannaGuyana pike-conger</v>
      </c>
    </row>
    <row r="543" spans="1:9" x14ac:dyDescent="0.35">
      <c r="A543" s="8">
        <v>31</v>
      </c>
      <c r="B543" s="8">
        <v>2018</v>
      </c>
      <c r="C543" s="8">
        <v>2</v>
      </c>
      <c r="D543" s="8" t="s">
        <v>176</v>
      </c>
      <c r="E543" s="8" t="s">
        <v>349</v>
      </c>
      <c r="F543" t="s">
        <v>276</v>
      </c>
      <c r="G543" t="s">
        <v>277</v>
      </c>
      <c r="H543" s="4">
        <v>109.97658904434434</v>
      </c>
      <c r="I543" t="str">
        <f t="shared" si="8"/>
        <v>Xiphopenaeus kroyeriSeabob</v>
      </c>
    </row>
    <row r="544" spans="1:9" x14ac:dyDescent="0.35">
      <c r="A544" s="8">
        <v>31</v>
      </c>
      <c r="B544" s="8">
        <v>2018</v>
      </c>
      <c r="C544" s="8">
        <v>2</v>
      </c>
      <c r="D544" s="8" t="s">
        <v>176</v>
      </c>
      <c r="E544" s="8" t="s">
        <v>349</v>
      </c>
      <c r="F544" t="s">
        <v>278</v>
      </c>
      <c r="G544" t="s">
        <v>353</v>
      </c>
      <c r="H544" s="4">
        <v>1.1101076594735595</v>
      </c>
      <c r="I544" t="str">
        <f t="shared" si="8"/>
        <v>Nematopalaemon schmittiWhitebelly shrimp</v>
      </c>
    </row>
    <row r="545" spans="1:9" x14ac:dyDescent="0.35">
      <c r="A545" s="8">
        <v>31</v>
      </c>
      <c r="B545" s="8">
        <v>2018</v>
      </c>
      <c r="C545" s="8">
        <v>2</v>
      </c>
      <c r="D545" s="8" t="s">
        <v>176</v>
      </c>
      <c r="E545" s="8" t="s">
        <v>349</v>
      </c>
      <c r="F545" t="s">
        <v>297</v>
      </c>
      <c r="G545" t="s">
        <v>298</v>
      </c>
      <c r="H545" s="4">
        <v>2.3234811477353574</v>
      </c>
      <c r="I545" t="str">
        <f t="shared" si="8"/>
        <v>Callinectes ornatusSheriga crab</v>
      </c>
    </row>
    <row r="546" spans="1:9" x14ac:dyDescent="0.35">
      <c r="A546" s="8">
        <v>31</v>
      </c>
      <c r="B546" s="8">
        <v>2018</v>
      </c>
      <c r="C546" s="8">
        <v>2</v>
      </c>
      <c r="D546" s="8" t="s">
        <v>176</v>
      </c>
      <c r="E546" s="8" t="s">
        <v>349</v>
      </c>
      <c r="F546" t="s">
        <v>85</v>
      </c>
      <c r="G546" t="s">
        <v>279</v>
      </c>
      <c r="H546" s="4">
        <v>0.54670144652596631</v>
      </c>
      <c r="I546" t="str">
        <f t="shared" si="8"/>
        <v>Squilla mantisMantis shrimp</v>
      </c>
    </row>
    <row r="547" spans="1:9" x14ac:dyDescent="0.35">
      <c r="A547" s="8">
        <v>31</v>
      </c>
      <c r="B547" s="8">
        <v>2018</v>
      </c>
      <c r="C547" s="8">
        <v>2</v>
      </c>
      <c r="D547" s="8" t="s">
        <v>176</v>
      </c>
      <c r="E547" s="8" t="s">
        <v>349</v>
      </c>
      <c r="F547" t="s">
        <v>350</v>
      </c>
      <c r="G547" t="s">
        <v>12</v>
      </c>
      <c r="H547" s="4">
        <v>0.10630305904671569</v>
      </c>
      <c r="I547" t="str">
        <f t="shared" si="8"/>
        <v>Batrachoides  surinamensisPacu</v>
      </c>
    </row>
    <row r="548" spans="1:9" x14ac:dyDescent="0.35">
      <c r="A548" s="8">
        <v>31</v>
      </c>
      <c r="B548" s="8">
        <v>2018</v>
      </c>
      <c r="C548" s="8">
        <v>2</v>
      </c>
      <c r="D548" s="8" t="s">
        <v>176</v>
      </c>
      <c r="E548" s="8" t="s">
        <v>349</v>
      </c>
      <c r="F548" t="s">
        <v>283</v>
      </c>
      <c r="G548" t="s">
        <v>284</v>
      </c>
      <c r="H548" s="4">
        <v>0.85042447237372554</v>
      </c>
      <c r="I548" t="str">
        <f t="shared" si="8"/>
        <v>Paralonchurus braziliensisBanded croaker</v>
      </c>
    </row>
    <row r="549" spans="1:9" x14ac:dyDescent="0.35">
      <c r="A549" s="8">
        <v>31</v>
      </c>
      <c r="B549" s="8">
        <v>2018</v>
      </c>
      <c r="C549" s="8">
        <v>2</v>
      </c>
      <c r="D549" s="8" t="s">
        <v>176</v>
      </c>
      <c r="E549" s="8" t="s">
        <v>349</v>
      </c>
      <c r="F549" t="s">
        <v>15</v>
      </c>
      <c r="G549" t="s">
        <v>16</v>
      </c>
      <c r="H549" s="4">
        <v>0.59225990040313026</v>
      </c>
      <c r="I549" t="str">
        <f t="shared" si="8"/>
        <v>Nebris micropsButterfish</v>
      </c>
    </row>
    <row r="550" spans="1:9" x14ac:dyDescent="0.35">
      <c r="A550" s="8">
        <v>31</v>
      </c>
      <c r="B550" s="8">
        <v>2018</v>
      </c>
      <c r="C550" s="8">
        <v>2</v>
      </c>
      <c r="D550" s="8" t="s">
        <v>176</v>
      </c>
      <c r="E550" s="8" t="s">
        <v>349</v>
      </c>
      <c r="F550" t="s">
        <v>50</v>
      </c>
      <c r="G550" t="s">
        <v>56</v>
      </c>
      <c r="H550" s="4">
        <v>0.04</v>
      </c>
      <c r="I550" t="str">
        <f t="shared" si="8"/>
        <v>Trichiurus lepturusSilverbelt</v>
      </c>
    </row>
    <row r="551" spans="1:9" x14ac:dyDescent="0.35">
      <c r="A551" s="8">
        <v>31</v>
      </c>
      <c r="B551" s="8">
        <v>2018</v>
      </c>
      <c r="C551" s="8">
        <v>2</v>
      </c>
      <c r="D551" s="8" t="s">
        <v>176</v>
      </c>
      <c r="E551" s="8" t="s">
        <v>349</v>
      </c>
      <c r="F551" t="s">
        <v>42</v>
      </c>
      <c r="G551" t="s">
        <v>126</v>
      </c>
      <c r="H551" s="4">
        <v>2.7335072326298322</v>
      </c>
      <c r="I551" t="str">
        <f t="shared" si="8"/>
        <v>Paralonchurus  elegansChinese Butterfish</v>
      </c>
    </row>
    <row r="552" spans="1:9" x14ac:dyDescent="0.35">
      <c r="A552" s="8">
        <v>31</v>
      </c>
      <c r="B552" s="8">
        <v>2018</v>
      </c>
      <c r="C552" s="8">
        <v>2</v>
      </c>
      <c r="D552" s="8" t="s">
        <v>176</v>
      </c>
      <c r="E552" s="8" t="s">
        <v>349</v>
      </c>
      <c r="F552" t="s">
        <v>43</v>
      </c>
      <c r="G552" t="s">
        <v>57</v>
      </c>
      <c r="H552" s="4">
        <v>2.5816457197059521</v>
      </c>
      <c r="I552" t="str">
        <f t="shared" si="8"/>
        <v>Cynoscion virescensSeatrout</v>
      </c>
    </row>
    <row r="553" spans="1:9" x14ac:dyDescent="0.35">
      <c r="A553" s="8">
        <v>31</v>
      </c>
      <c r="B553" s="8">
        <v>2018</v>
      </c>
      <c r="C553" s="8">
        <v>2</v>
      </c>
      <c r="D553" s="8" t="s">
        <v>176</v>
      </c>
      <c r="E553" s="8" t="s">
        <v>349</v>
      </c>
      <c r="F553" t="s">
        <v>40</v>
      </c>
      <c r="G553" t="s">
        <v>35</v>
      </c>
      <c r="H553" s="4">
        <v>2.7638795352146079</v>
      </c>
      <c r="I553" t="str">
        <f t="shared" si="8"/>
        <v>Macrodon ancylodonBangamary</v>
      </c>
    </row>
    <row r="554" spans="1:9" x14ac:dyDescent="0.35">
      <c r="A554" s="8">
        <v>31</v>
      </c>
      <c r="B554" s="8">
        <v>2018</v>
      </c>
      <c r="C554" s="8">
        <v>2</v>
      </c>
      <c r="D554" s="8" t="s">
        <v>176</v>
      </c>
      <c r="E554" s="8" t="s">
        <v>349</v>
      </c>
      <c r="F554" t="s">
        <v>21</v>
      </c>
      <c r="G554" t="s">
        <v>59</v>
      </c>
      <c r="H554" s="4">
        <v>1.7312212473322268</v>
      </c>
      <c r="I554" t="str">
        <f t="shared" si="8"/>
        <v>Stellifer micropsRockhead</v>
      </c>
    </row>
    <row r="555" spans="1:9" x14ac:dyDescent="0.35">
      <c r="A555" s="8">
        <v>31</v>
      </c>
      <c r="B555" s="8">
        <v>2018</v>
      </c>
      <c r="C555" s="8">
        <v>2</v>
      </c>
      <c r="D555" s="8" t="s">
        <v>176</v>
      </c>
      <c r="E555" s="8" t="s">
        <v>349</v>
      </c>
      <c r="F555" t="s">
        <v>58</v>
      </c>
      <c r="G555" t="s">
        <v>59</v>
      </c>
      <c r="H555" s="4">
        <v>0.16704766421626752</v>
      </c>
      <c r="I555" t="str">
        <f t="shared" si="8"/>
        <v>Stellifer rastriferRockhead</v>
      </c>
    </row>
    <row r="556" spans="1:9" x14ac:dyDescent="0.35">
      <c r="A556" s="8">
        <v>31</v>
      </c>
      <c r="B556" s="8">
        <v>2018</v>
      </c>
      <c r="C556" s="8">
        <v>2</v>
      </c>
      <c r="D556" s="8" t="s">
        <v>176</v>
      </c>
      <c r="E556" s="8" t="s">
        <v>349</v>
      </c>
      <c r="F556" t="s">
        <v>6</v>
      </c>
      <c r="G556" t="s">
        <v>37</v>
      </c>
      <c r="H556" s="4">
        <v>2.59683187099834</v>
      </c>
      <c r="I556" t="str">
        <f t="shared" si="8"/>
        <v>Symphurus plagusiaTongue fish</v>
      </c>
    </row>
    <row r="557" spans="1:9" x14ac:dyDescent="0.35">
      <c r="A557" s="8">
        <v>31</v>
      </c>
      <c r="B557" s="8">
        <v>2018</v>
      </c>
      <c r="C557" s="8">
        <v>2</v>
      </c>
      <c r="D557" s="8" t="s">
        <v>176</v>
      </c>
      <c r="E557" s="8" t="s">
        <v>349</v>
      </c>
      <c r="F557" t="s">
        <v>309</v>
      </c>
      <c r="G557" t="s">
        <v>310</v>
      </c>
      <c r="H557" s="4">
        <v>0.21</v>
      </c>
      <c r="I557" t="str">
        <f t="shared" si="8"/>
        <v>Cynoponticus savannaGuyana pike-conger</v>
      </c>
    </row>
    <row r="558" spans="1:9" x14ac:dyDescent="0.35">
      <c r="A558" s="8">
        <v>31</v>
      </c>
      <c r="B558" s="8">
        <v>2018</v>
      </c>
      <c r="C558" s="8">
        <v>2</v>
      </c>
      <c r="D558" s="8" t="s">
        <v>176</v>
      </c>
      <c r="E558" s="8" t="s">
        <v>349</v>
      </c>
      <c r="F558" t="s">
        <v>3</v>
      </c>
      <c r="G558" t="s">
        <v>308</v>
      </c>
      <c r="H558" s="4">
        <v>0.31</v>
      </c>
      <c r="I558" t="str">
        <f t="shared" si="8"/>
        <v>Ophichtus gomesiShrimp eel</v>
      </c>
    </row>
    <row r="559" spans="1:9" x14ac:dyDescent="0.35">
      <c r="A559" s="8">
        <v>32</v>
      </c>
      <c r="B559" s="8">
        <v>2018</v>
      </c>
      <c r="C559" s="8">
        <v>3</v>
      </c>
      <c r="D559" s="8" t="s">
        <v>173</v>
      </c>
      <c r="E559" s="8" t="s">
        <v>349</v>
      </c>
      <c r="F559" t="s">
        <v>276</v>
      </c>
      <c r="G559" t="s">
        <v>277</v>
      </c>
      <c r="H559" s="4">
        <v>499.60848497539524</v>
      </c>
      <c r="I559" t="str">
        <f t="shared" si="8"/>
        <v>Xiphopenaeus kroyeriSeabob</v>
      </c>
    </row>
    <row r="560" spans="1:9" x14ac:dyDescent="0.35">
      <c r="A560" s="8">
        <v>32</v>
      </c>
      <c r="B560" s="8">
        <v>2018</v>
      </c>
      <c r="C560" s="8">
        <v>3</v>
      </c>
      <c r="D560" s="8" t="s">
        <v>173</v>
      </c>
      <c r="E560" s="8" t="s">
        <v>349</v>
      </c>
      <c r="F560" t="s">
        <v>278</v>
      </c>
      <c r="G560" t="s">
        <v>353</v>
      </c>
      <c r="H560" s="4">
        <v>37.519681708721606</v>
      </c>
      <c r="I560" t="str">
        <f t="shared" si="8"/>
        <v>Nematopalaemon schmittiWhitebelly shrimp</v>
      </c>
    </row>
    <row r="561" spans="1:9" x14ac:dyDescent="0.35">
      <c r="A561" s="8">
        <v>32</v>
      </c>
      <c r="B561" s="8">
        <v>2018</v>
      </c>
      <c r="C561" s="8">
        <v>3</v>
      </c>
      <c r="D561" s="8" t="s">
        <v>173</v>
      </c>
      <c r="E561" s="8" t="s">
        <v>349</v>
      </c>
      <c r="F561" t="s">
        <v>297</v>
      </c>
      <c r="G561" t="s">
        <v>298</v>
      </c>
      <c r="H561" s="4">
        <v>10.544747146895615</v>
      </c>
      <c r="I561" t="str">
        <f t="shared" si="8"/>
        <v>Callinectes ornatusSheriga crab</v>
      </c>
    </row>
    <row r="562" spans="1:9" x14ac:dyDescent="0.35">
      <c r="A562" s="8">
        <v>32</v>
      </c>
      <c r="B562" s="8">
        <v>2018</v>
      </c>
      <c r="C562" s="8">
        <v>3</v>
      </c>
      <c r="D562" s="8" t="s">
        <v>173</v>
      </c>
      <c r="E562" s="8" t="s">
        <v>349</v>
      </c>
      <c r="F562" t="s">
        <v>111</v>
      </c>
      <c r="G562" t="s">
        <v>109</v>
      </c>
      <c r="H562" s="4">
        <v>17.411094126269504</v>
      </c>
      <c r="I562" t="str">
        <f t="shared" si="8"/>
        <v>Micropogonias furnieriBashaw</v>
      </c>
    </row>
    <row r="563" spans="1:9" x14ac:dyDescent="0.35">
      <c r="A563" s="8">
        <v>32</v>
      </c>
      <c r="B563" s="8">
        <v>2018</v>
      </c>
      <c r="C563" s="8">
        <v>3</v>
      </c>
      <c r="D563" s="8" t="s">
        <v>173</v>
      </c>
      <c r="E563" s="8" t="s">
        <v>349</v>
      </c>
      <c r="F563" t="s">
        <v>350</v>
      </c>
      <c r="G563" t="s">
        <v>12</v>
      </c>
      <c r="H563" s="4">
        <v>6.1306669458695424</v>
      </c>
      <c r="I563" t="str">
        <f t="shared" si="8"/>
        <v>Batrachoides  surinamensisPacu</v>
      </c>
    </row>
    <row r="564" spans="1:9" x14ac:dyDescent="0.35">
      <c r="A564" s="8">
        <v>32</v>
      </c>
      <c r="B564" s="8">
        <v>2018</v>
      </c>
      <c r="C564" s="8">
        <v>3</v>
      </c>
      <c r="D564" s="8" t="s">
        <v>173</v>
      </c>
      <c r="E564" s="8" t="s">
        <v>349</v>
      </c>
      <c r="F564" t="s">
        <v>15</v>
      </c>
      <c r="G564" t="s">
        <v>16</v>
      </c>
      <c r="H564" s="4">
        <v>40.217175164904205</v>
      </c>
      <c r="I564" t="str">
        <f t="shared" si="8"/>
        <v>Nebris micropsButterfish</v>
      </c>
    </row>
    <row r="565" spans="1:9" x14ac:dyDescent="0.35">
      <c r="A565" s="8">
        <v>32</v>
      </c>
      <c r="B565" s="8">
        <v>2018</v>
      </c>
      <c r="C565" s="8">
        <v>3</v>
      </c>
      <c r="D565" s="8" t="s">
        <v>173</v>
      </c>
      <c r="E565" s="8" t="s">
        <v>349</v>
      </c>
      <c r="F565" t="s">
        <v>42</v>
      </c>
      <c r="G565" t="s">
        <v>126</v>
      </c>
      <c r="H565" s="4">
        <v>31.307272536907131</v>
      </c>
      <c r="I565" t="str">
        <f t="shared" si="8"/>
        <v>Paralonchurus  elegansChinese Butterfish</v>
      </c>
    </row>
    <row r="566" spans="1:9" x14ac:dyDescent="0.35">
      <c r="A566" s="8">
        <v>32</v>
      </c>
      <c r="B566" s="8">
        <v>2018</v>
      </c>
      <c r="C566" s="8">
        <v>3</v>
      </c>
      <c r="D566" s="8" t="s">
        <v>173</v>
      </c>
      <c r="E566" s="8" t="s">
        <v>349</v>
      </c>
      <c r="F566" t="s">
        <v>54</v>
      </c>
      <c r="G566" t="s">
        <v>55</v>
      </c>
      <c r="H566" s="4">
        <v>2.1252978745681084</v>
      </c>
      <c r="I566" t="str">
        <f t="shared" si="8"/>
        <v>Arius proopsCuirass</v>
      </c>
    </row>
    <row r="567" spans="1:9" x14ac:dyDescent="0.35">
      <c r="A567" s="8">
        <v>32</v>
      </c>
      <c r="B567" s="8">
        <v>2018</v>
      </c>
      <c r="C567" s="8">
        <v>3</v>
      </c>
      <c r="D567" s="8" t="s">
        <v>173</v>
      </c>
      <c r="E567" s="8" t="s">
        <v>349</v>
      </c>
      <c r="F567" t="s">
        <v>43</v>
      </c>
      <c r="G567" t="s">
        <v>57</v>
      </c>
      <c r="H567" s="4">
        <v>38.745815097895516</v>
      </c>
      <c r="I567" t="str">
        <f t="shared" si="8"/>
        <v>Cynoscion virescensSeatrout</v>
      </c>
    </row>
    <row r="568" spans="1:9" x14ac:dyDescent="0.35">
      <c r="A568" s="8">
        <v>32</v>
      </c>
      <c r="B568" s="8">
        <v>2018</v>
      </c>
      <c r="C568" s="8">
        <v>3</v>
      </c>
      <c r="D568" s="8" t="s">
        <v>173</v>
      </c>
      <c r="E568" s="8" t="s">
        <v>349</v>
      </c>
      <c r="F568" t="s">
        <v>40</v>
      </c>
      <c r="G568" t="s">
        <v>35</v>
      </c>
      <c r="H568" s="4">
        <v>13.323982829023139</v>
      </c>
      <c r="I568" t="str">
        <f t="shared" si="8"/>
        <v>Macrodon ancylodonBangamary</v>
      </c>
    </row>
    <row r="569" spans="1:9" x14ac:dyDescent="0.35">
      <c r="A569" s="8">
        <v>32</v>
      </c>
      <c r="B569" s="8">
        <v>2018</v>
      </c>
      <c r="C569" s="8">
        <v>3</v>
      </c>
      <c r="D569" s="8" t="s">
        <v>173</v>
      </c>
      <c r="E569" s="8" t="s">
        <v>349</v>
      </c>
      <c r="F569" t="s">
        <v>338</v>
      </c>
      <c r="G569" t="s">
        <v>331</v>
      </c>
      <c r="H569" s="4">
        <v>2.9427201340173803</v>
      </c>
      <c r="I569" t="str">
        <f t="shared" si="8"/>
        <v>Centropomus undecimalisSnook</v>
      </c>
    </row>
    <row r="570" spans="1:9" x14ac:dyDescent="0.35">
      <c r="A570" s="8">
        <v>32</v>
      </c>
      <c r="B570" s="8">
        <v>2018</v>
      </c>
      <c r="C570" s="8">
        <v>3</v>
      </c>
      <c r="D570" s="8" t="s">
        <v>173</v>
      </c>
      <c r="E570" s="8" t="s">
        <v>349</v>
      </c>
      <c r="F570" t="s">
        <v>5</v>
      </c>
      <c r="G570" t="s">
        <v>4</v>
      </c>
      <c r="H570" s="4">
        <v>5.3132446864202709</v>
      </c>
      <c r="I570" t="str">
        <f t="shared" si="8"/>
        <v>Bagre bagreCatfish</v>
      </c>
    </row>
    <row r="571" spans="1:9" x14ac:dyDescent="0.35">
      <c r="A571" s="8">
        <v>32</v>
      </c>
      <c r="B571" s="8">
        <v>2018</v>
      </c>
      <c r="C571" s="8">
        <v>3</v>
      </c>
      <c r="D571" s="8" t="s">
        <v>173</v>
      </c>
      <c r="E571" s="8" t="s">
        <v>349</v>
      </c>
      <c r="F571" t="s">
        <v>58</v>
      </c>
      <c r="G571" t="s">
        <v>59</v>
      </c>
      <c r="H571" s="4">
        <v>29.917654695843375</v>
      </c>
      <c r="I571" t="str">
        <f t="shared" si="8"/>
        <v>Stellifer rastriferRockhead</v>
      </c>
    </row>
    <row r="572" spans="1:9" x14ac:dyDescent="0.35">
      <c r="A572" s="8">
        <v>32</v>
      </c>
      <c r="B572" s="8">
        <v>2018</v>
      </c>
      <c r="C572" s="8">
        <v>3</v>
      </c>
      <c r="D572" s="8" t="s">
        <v>173</v>
      </c>
      <c r="E572" s="8" t="s">
        <v>349</v>
      </c>
      <c r="F572" t="s">
        <v>6</v>
      </c>
      <c r="G572" t="s">
        <v>37</v>
      </c>
      <c r="H572" s="4">
        <v>5.3132446864202709</v>
      </c>
      <c r="I572" t="str">
        <f t="shared" si="8"/>
        <v>Symphurus plagusiaTongue fish</v>
      </c>
    </row>
    <row r="573" spans="1:9" x14ac:dyDescent="0.35">
      <c r="A573" s="8">
        <v>32</v>
      </c>
      <c r="B573" s="8">
        <v>2018</v>
      </c>
      <c r="C573" s="8">
        <v>3</v>
      </c>
      <c r="D573" s="8" t="s">
        <v>173</v>
      </c>
      <c r="E573" s="8" t="s">
        <v>349</v>
      </c>
      <c r="F573" t="s">
        <v>7</v>
      </c>
      <c r="G573" t="s">
        <v>289</v>
      </c>
      <c r="H573" s="4">
        <v>2.615751230237672</v>
      </c>
      <c r="I573" t="str">
        <f t="shared" si="8"/>
        <v>Achirus achirusDrab sole</v>
      </c>
    </row>
    <row r="574" spans="1:9" x14ac:dyDescent="0.35">
      <c r="A574" s="8">
        <v>32</v>
      </c>
      <c r="B574" s="8">
        <v>2018</v>
      </c>
      <c r="C574" s="8">
        <v>3</v>
      </c>
      <c r="D574" s="8" t="s">
        <v>173</v>
      </c>
      <c r="E574" s="8" t="s">
        <v>349</v>
      </c>
      <c r="F574" t="s">
        <v>80</v>
      </c>
      <c r="G574" t="s">
        <v>290</v>
      </c>
      <c r="H574" s="4">
        <v>2.615751230237672</v>
      </c>
      <c r="I574" t="str">
        <f t="shared" si="8"/>
        <v>Apionichthys dumeriliLongtail sole</v>
      </c>
    </row>
    <row r="575" spans="1:9" x14ac:dyDescent="0.35">
      <c r="A575" s="8">
        <v>32</v>
      </c>
      <c r="B575" s="8">
        <v>2018</v>
      </c>
      <c r="C575" s="8">
        <v>3</v>
      </c>
      <c r="D575" s="8" t="s">
        <v>173</v>
      </c>
      <c r="E575" s="8" t="s">
        <v>349</v>
      </c>
      <c r="F575" t="s">
        <v>2</v>
      </c>
      <c r="G575" t="s">
        <v>307</v>
      </c>
      <c r="H575" s="4">
        <v>3.0244623599623077</v>
      </c>
      <c r="I575" t="str">
        <f t="shared" si="8"/>
        <v>Gymnura micruraButterfly stingray</v>
      </c>
    </row>
    <row r="576" spans="1:9" x14ac:dyDescent="0.35">
      <c r="A576" s="8">
        <v>32</v>
      </c>
      <c r="B576" s="8">
        <v>2018</v>
      </c>
      <c r="C576" s="8">
        <v>3</v>
      </c>
      <c r="D576" s="8" t="s">
        <v>173</v>
      </c>
      <c r="E576" s="8" t="s">
        <v>349</v>
      </c>
      <c r="F576" t="s">
        <v>3</v>
      </c>
      <c r="G576" t="s">
        <v>308</v>
      </c>
      <c r="H576" s="4">
        <v>32.042952570411479</v>
      </c>
      <c r="I576" t="str">
        <f t="shared" si="8"/>
        <v>Ophichtus gomesiShrimp eel</v>
      </c>
    </row>
    <row r="577" spans="1:9" x14ac:dyDescent="0.35">
      <c r="A577" s="8">
        <v>33</v>
      </c>
      <c r="B577" s="8">
        <v>2018</v>
      </c>
      <c r="C577" s="8">
        <v>3</v>
      </c>
      <c r="D577" s="8" t="s">
        <v>174</v>
      </c>
      <c r="E577" s="8" t="s">
        <v>349</v>
      </c>
      <c r="F577" t="s">
        <v>276</v>
      </c>
      <c r="G577" t="s">
        <v>277</v>
      </c>
      <c r="H577" s="4">
        <v>568.04064420133977</v>
      </c>
      <c r="I577" t="str">
        <f t="shared" si="8"/>
        <v>Xiphopenaeus kroyeriSeabob</v>
      </c>
    </row>
    <row r="578" spans="1:9" x14ac:dyDescent="0.35">
      <c r="A578" s="8">
        <v>33</v>
      </c>
      <c r="B578" s="8">
        <v>2018</v>
      </c>
      <c r="C578" s="8">
        <v>3</v>
      </c>
      <c r="D578" s="8" t="s">
        <v>174</v>
      </c>
      <c r="E578" s="8" t="s">
        <v>349</v>
      </c>
      <c r="F578" t="s">
        <v>278</v>
      </c>
      <c r="G578" t="s">
        <v>353</v>
      </c>
      <c r="H578" s="4">
        <v>10.216558348944959</v>
      </c>
      <c r="I578" t="str">
        <f t="shared" si="8"/>
        <v>Nematopalaemon schmittiWhitebelly shrimp</v>
      </c>
    </row>
    <row r="579" spans="1:9" x14ac:dyDescent="0.35">
      <c r="A579" s="8">
        <v>33</v>
      </c>
      <c r="B579" s="8">
        <v>2018</v>
      </c>
      <c r="C579" s="8">
        <v>3</v>
      </c>
      <c r="D579" s="8" t="s">
        <v>174</v>
      </c>
      <c r="E579" s="8" t="s">
        <v>349</v>
      </c>
      <c r="F579" t="s">
        <v>283</v>
      </c>
      <c r="G579" t="s">
        <v>284</v>
      </c>
      <c r="H579" s="4">
        <v>11.238214183839457</v>
      </c>
      <c r="I579" t="str">
        <f t="shared" ref="I579:I629" si="9">CONCATENATE(F579,G579)</f>
        <v>Paralonchurus braziliensisBanded croaker</v>
      </c>
    </row>
    <row r="580" spans="1:9" x14ac:dyDescent="0.35">
      <c r="A580" s="8">
        <v>33</v>
      </c>
      <c r="B580" s="8">
        <v>2018</v>
      </c>
      <c r="C580" s="8">
        <v>3</v>
      </c>
      <c r="D580" s="8" t="s">
        <v>174</v>
      </c>
      <c r="E580" s="8" t="s">
        <v>349</v>
      </c>
      <c r="F580" t="s">
        <v>15</v>
      </c>
      <c r="G580" t="s">
        <v>16</v>
      </c>
      <c r="H580" s="4">
        <v>179.81142694143131</v>
      </c>
      <c r="I580" t="str">
        <f t="shared" si="9"/>
        <v>Nebris micropsButterfish</v>
      </c>
    </row>
    <row r="581" spans="1:9" x14ac:dyDescent="0.35">
      <c r="A581" s="8">
        <v>33</v>
      </c>
      <c r="B581" s="8">
        <v>2018</v>
      </c>
      <c r="C581" s="8">
        <v>3</v>
      </c>
      <c r="D581" s="8" t="s">
        <v>174</v>
      </c>
      <c r="E581" s="8" t="s">
        <v>349</v>
      </c>
      <c r="F581" t="s">
        <v>42</v>
      </c>
      <c r="G581" t="s">
        <v>126</v>
      </c>
      <c r="H581" s="4">
        <v>71.618074026104168</v>
      </c>
      <c r="I581" t="str">
        <f t="shared" si="9"/>
        <v>Paralonchurus  elegansChinese Butterfish</v>
      </c>
    </row>
    <row r="582" spans="1:9" x14ac:dyDescent="0.35">
      <c r="A582" s="8">
        <v>33</v>
      </c>
      <c r="B582" s="8">
        <v>2018</v>
      </c>
      <c r="C582" s="8">
        <v>3</v>
      </c>
      <c r="D582" s="8" t="s">
        <v>174</v>
      </c>
      <c r="E582" s="8" t="s">
        <v>349</v>
      </c>
      <c r="F582" t="s">
        <v>63</v>
      </c>
      <c r="G582" t="s">
        <v>62</v>
      </c>
      <c r="H582" s="4">
        <v>4.0866233395779838</v>
      </c>
      <c r="I582" t="str">
        <f t="shared" si="9"/>
        <v>Selene browniMoonfish</v>
      </c>
    </row>
    <row r="583" spans="1:9" x14ac:dyDescent="0.35">
      <c r="A583" s="8">
        <v>33</v>
      </c>
      <c r="B583" s="8">
        <v>2018</v>
      </c>
      <c r="C583" s="8">
        <v>3</v>
      </c>
      <c r="D583" s="8" t="s">
        <v>174</v>
      </c>
      <c r="E583" s="8" t="s">
        <v>349</v>
      </c>
      <c r="F583" t="s">
        <v>350</v>
      </c>
      <c r="G583" t="s">
        <v>12</v>
      </c>
      <c r="H583" s="4">
        <v>12.362035602223401</v>
      </c>
      <c r="I583" t="str">
        <f t="shared" si="9"/>
        <v>Batrachoides  surinamensisPacu</v>
      </c>
    </row>
    <row r="584" spans="1:9" x14ac:dyDescent="0.35">
      <c r="A584" s="8">
        <v>33</v>
      </c>
      <c r="B584" s="8">
        <v>2018</v>
      </c>
      <c r="C584" s="8">
        <v>3</v>
      </c>
      <c r="D584" s="8" t="s">
        <v>174</v>
      </c>
      <c r="E584" s="8" t="s">
        <v>349</v>
      </c>
      <c r="F584" t="s">
        <v>43</v>
      </c>
      <c r="G584" t="s">
        <v>57</v>
      </c>
      <c r="H584" s="4">
        <v>40.048908727864237</v>
      </c>
      <c r="I584" t="str">
        <f t="shared" si="9"/>
        <v>Cynoscion virescensSeatrout</v>
      </c>
    </row>
    <row r="585" spans="1:9" x14ac:dyDescent="0.35">
      <c r="A585" s="8">
        <v>33</v>
      </c>
      <c r="B585" s="8">
        <v>2018</v>
      </c>
      <c r="C585" s="8">
        <v>3</v>
      </c>
      <c r="D585" s="8" t="s">
        <v>174</v>
      </c>
      <c r="E585" s="8" t="s">
        <v>349</v>
      </c>
      <c r="F585" t="s">
        <v>40</v>
      </c>
      <c r="G585" t="s">
        <v>35</v>
      </c>
      <c r="H585" s="4">
        <v>65.294024408107234</v>
      </c>
      <c r="I585" t="str">
        <f t="shared" si="9"/>
        <v>Macrodon ancylodonBangamary</v>
      </c>
    </row>
    <row r="586" spans="1:9" x14ac:dyDescent="0.35">
      <c r="A586" s="8">
        <v>33</v>
      </c>
      <c r="B586" s="8">
        <v>2018</v>
      </c>
      <c r="C586" s="8">
        <v>3</v>
      </c>
      <c r="D586" s="8" t="s">
        <v>174</v>
      </c>
      <c r="E586" s="8" t="s">
        <v>349</v>
      </c>
      <c r="F586" t="s">
        <v>50</v>
      </c>
      <c r="G586" t="s">
        <v>56</v>
      </c>
      <c r="H586" s="4">
        <v>39.844577560885341</v>
      </c>
      <c r="I586" t="str">
        <f t="shared" si="9"/>
        <v>Trichiurus lepturusSilverbelt</v>
      </c>
    </row>
    <row r="587" spans="1:9" x14ac:dyDescent="0.35">
      <c r="A587" s="8">
        <v>33</v>
      </c>
      <c r="B587" s="8">
        <v>2018</v>
      </c>
      <c r="C587" s="8">
        <v>3</v>
      </c>
      <c r="D587" s="8" t="s">
        <v>174</v>
      </c>
      <c r="E587" s="8" t="s">
        <v>349</v>
      </c>
      <c r="F587" t="s">
        <v>39</v>
      </c>
      <c r="G587" t="s">
        <v>288</v>
      </c>
      <c r="H587" s="4">
        <v>17.368149193206431</v>
      </c>
      <c r="I587" t="str">
        <f t="shared" si="9"/>
        <v>Colomesus psittacusBanded puffer</v>
      </c>
    </row>
    <row r="588" spans="1:9" x14ac:dyDescent="0.35">
      <c r="A588" s="8">
        <v>33</v>
      </c>
      <c r="B588" s="8">
        <v>2018</v>
      </c>
      <c r="C588" s="8">
        <v>3</v>
      </c>
      <c r="D588" s="8" t="s">
        <v>174</v>
      </c>
      <c r="E588" s="8" t="s">
        <v>349</v>
      </c>
      <c r="F588" t="s">
        <v>5</v>
      </c>
      <c r="G588" t="s">
        <v>4</v>
      </c>
      <c r="H588" s="4">
        <v>53.126103414513793</v>
      </c>
      <c r="I588" t="str">
        <f t="shared" si="9"/>
        <v>Bagre bagreCatfish</v>
      </c>
    </row>
    <row r="589" spans="1:9" x14ac:dyDescent="0.35">
      <c r="A589" s="8">
        <v>33</v>
      </c>
      <c r="B589" s="8">
        <v>2018</v>
      </c>
      <c r="C589" s="8">
        <v>3</v>
      </c>
      <c r="D589" s="8" t="s">
        <v>174</v>
      </c>
      <c r="E589" s="8" t="s">
        <v>349</v>
      </c>
      <c r="F589" t="s">
        <v>58</v>
      </c>
      <c r="G589" t="s">
        <v>59</v>
      </c>
      <c r="H589" s="4">
        <v>39.027252892969742</v>
      </c>
      <c r="I589" t="str">
        <f t="shared" si="9"/>
        <v>Stellifer rastriferRockhead</v>
      </c>
    </row>
    <row r="590" spans="1:9" x14ac:dyDescent="0.35">
      <c r="A590" s="8">
        <v>33</v>
      </c>
      <c r="B590" s="8">
        <v>2018</v>
      </c>
      <c r="C590" s="8">
        <v>3</v>
      </c>
      <c r="D590" s="8" t="s">
        <v>174</v>
      </c>
      <c r="E590" s="8" t="s">
        <v>349</v>
      </c>
      <c r="F590" t="s">
        <v>6</v>
      </c>
      <c r="G590" t="s">
        <v>37</v>
      </c>
      <c r="H590" s="4">
        <v>13.077194686649548</v>
      </c>
      <c r="I590" t="str">
        <f t="shared" si="9"/>
        <v>Symphurus plagusiaTongue fish</v>
      </c>
    </row>
    <row r="591" spans="1:9" x14ac:dyDescent="0.35">
      <c r="A591" s="8">
        <v>33</v>
      </c>
      <c r="B591" s="8">
        <v>2018</v>
      </c>
      <c r="C591" s="8">
        <v>3</v>
      </c>
      <c r="D591" s="8" t="s">
        <v>174</v>
      </c>
      <c r="E591" s="8" t="s">
        <v>349</v>
      </c>
      <c r="F591" t="s">
        <v>7</v>
      </c>
      <c r="G591" t="s">
        <v>289</v>
      </c>
      <c r="H591" s="4">
        <v>12.259870018733951</v>
      </c>
      <c r="I591" t="str">
        <f t="shared" si="9"/>
        <v>Achirus achirusDrab sole</v>
      </c>
    </row>
    <row r="592" spans="1:9" x14ac:dyDescent="0.35">
      <c r="A592" s="8">
        <v>33</v>
      </c>
      <c r="B592" s="8">
        <v>2018</v>
      </c>
      <c r="C592" s="8">
        <v>3</v>
      </c>
      <c r="D592" s="8" t="s">
        <v>174</v>
      </c>
      <c r="E592" s="8" t="s">
        <v>349</v>
      </c>
      <c r="F592" t="s">
        <v>129</v>
      </c>
      <c r="G592" t="s">
        <v>306</v>
      </c>
      <c r="H592" s="4">
        <v>146.09678438991293</v>
      </c>
      <c r="I592" t="str">
        <f t="shared" si="9"/>
        <v>Dasyatis geijskesiSharpsnout stingray</v>
      </c>
    </row>
    <row r="593" spans="1:9" x14ac:dyDescent="0.35">
      <c r="A593" s="8">
        <v>33</v>
      </c>
      <c r="B593" s="8">
        <v>2018</v>
      </c>
      <c r="C593" s="8">
        <v>3</v>
      </c>
      <c r="D593" s="8" t="s">
        <v>174</v>
      </c>
      <c r="E593" s="8" t="s">
        <v>349</v>
      </c>
      <c r="F593" t="s">
        <v>77</v>
      </c>
      <c r="G593" t="s">
        <v>78</v>
      </c>
      <c r="H593" s="4">
        <v>3.3714642551518366</v>
      </c>
      <c r="I593" t="str">
        <f t="shared" si="9"/>
        <v>Urotrygon microphthalmumSmalleyed round stingray</v>
      </c>
    </row>
    <row r="594" spans="1:9" x14ac:dyDescent="0.35">
      <c r="A594" s="8">
        <v>33</v>
      </c>
      <c r="B594" s="8">
        <v>2018</v>
      </c>
      <c r="C594" s="8">
        <v>3</v>
      </c>
      <c r="D594" s="8" t="s">
        <v>174</v>
      </c>
      <c r="E594" s="8" t="s">
        <v>349</v>
      </c>
      <c r="F594" t="s">
        <v>352</v>
      </c>
      <c r="G594" t="s">
        <v>0</v>
      </c>
      <c r="H594" s="4">
        <v>0.40866233395779838</v>
      </c>
      <c r="I594" t="str">
        <f t="shared" si="9"/>
        <v>Narcine brasiliensisBrazilian Electric Ray</v>
      </c>
    </row>
    <row r="595" spans="1:9" x14ac:dyDescent="0.35">
      <c r="A595" s="8">
        <v>33</v>
      </c>
      <c r="B595" s="8">
        <v>2018</v>
      </c>
      <c r="C595" s="8">
        <v>3</v>
      </c>
      <c r="D595" s="8" t="s">
        <v>174</v>
      </c>
      <c r="E595" s="8" t="s">
        <v>349</v>
      </c>
      <c r="F595" t="s">
        <v>3</v>
      </c>
      <c r="G595" t="s">
        <v>308</v>
      </c>
      <c r="H595" s="4">
        <v>37.903431474585801</v>
      </c>
      <c r="I595" t="str">
        <f t="shared" si="9"/>
        <v>Ophichtus gomesiShrimp eel</v>
      </c>
    </row>
    <row r="596" spans="1:9" x14ac:dyDescent="0.35">
      <c r="A596" s="8">
        <v>34</v>
      </c>
      <c r="B596" s="8">
        <v>2018</v>
      </c>
      <c r="C596" s="8">
        <v>3</v>
      </c>
      <c r="D596" s="8" t="s">
        <v>176</v>
      </c>
      <c r="E596" s="8" t="s">
        <v>349</v>
      </c>
      <c r="F596" t="s">
        <v>276</v>
      </c>
      <c r="G596" t="s">
        <v>277</v>
      </c>
      <c r="H596" s="4">
        <v>86.78123402471391</v>
      </c>
      <c r="I596" t="str">
        <f t="shared" si="9"/>
        <v>Xiphopenaeus kroyeriSeabob</v>
      </c>
    </row>
    <row r="597" spans="1:9" x14ac:dyDescent="0.35">
      <c r="A597" s="8">
        <v>34</v>
      </c>
      <c r="B597" s="8">
        <v>2018</v>
      </c>
      <c r="C597" s="8">
        <v>3</v>
      </c>
      <c r="D597" s="8" t="s">
        <v>176</v>
      </c>
      <c r="E597" s="8" t="s">
        <v>349</v>
      </c>
      <c r="F597" t="s">
        <v>278</v>
      </c>
      <c r="G597" t="s">
        <v>353</v>
      </c>
      <c r="H597" s="4">
        <v>10.498585134558061</v>
      </c>
      <c r="I597" t="str">
        <f t="shared" si="9"/>
        <v>Nematopalaemon schmittiWhitebelly shrimp</v>
      </c>
    </row>
    <row r="598" spans="1:9" x14ac:dyDescent="0.35">
      <c r="A598" s="8">
        <v>34</v>
      </c>
      <c r="B598" s="8">
        <v>2018</v>
      </c>
      <c r="C598" s="8">
        <v>3</v>
      </c>
      <c r="D598" s="8" t="s">
        <v>176</v>
      </c>
      <c r="E598" s="8" t="s">
        <v>349</v>
      </c>
      <c r="F598" t="s">
        <v>297</v>
      </c>
      <c r="G598" t="s">
        <v>298</v>
      </c>
      <c r="H598" s="4">
        <v>4.073402811062893</v>
      </c>
      <c r="I598" t="str">
        <f t="shared" si="9"/>
        <v>Callinectes ornatusSheriga crab</v>
      </c>
    </row>
    <row r="599" spans="1:9" x14ac:dyDescent="0.35">
      <c r="A599" s="8">
        <v>34</v>
      </c>
      <c r="B599" s="8">
        <v>2018</v>
      </c>
      <c r="C599" s="8">
        <v>3</v>
      </c>
      <c r="D599" s="8" t="s">
        <v>176</v>
      </c>
      <c r="E599" s="8" t="s">
        <v>349</v>
      </c>
      <c r="F599" t="s">
        <v>295</v>
      </c>
      <c r="G599" t="s">
        <v>296</v>
      </c>
      <c r="H599" s="4">
        <v>4.4615583910875056E-2</v>
      </c>
      <c r="I599" t="str">
        <f t="shared" si="9"/>
        <v>Persephona lichtensteiniiSiri ball</v>
      </c>
    </row>
    <row r="600" spans="1:9" x14ac:dyDescent="0.35">
      <c r="A600" s="8">
        <v>34</v>
      </c>
      <c r="B600" s="8">
        <v>2018</v>
      </c>
      <c r="C600" s="8">
        <v>3</v>
      </c>
      <c r="D600" s="8" t="s">
        <v>176</v>
      </c>
      <c r="E600" s="8" t="s">
        <v>349</v>
      </c>
      <c r="F600" t="s">
        <v>299</v>
      </c>
      <c r="G600" t="s">
        <v>300</v>
      </c>
      <c r="H600" s="4">
        <v>0.63800284992551315</v>
      </c>
      <c r="I600" t="str">
        <f t="shared" si="9"/>
        <v>Hepatus gronoviiBox crab</v>
      </c>
    </row>
    <row r="601" spans="1:9" x14ac:dyDescent="0.35">
      <c r="A601" s="8">
        <v>34</v>
      </c>
      <c r="B601" s="8">
        <v>2018</v>
      </c>
      <c r="C601" s="8">
        <v>3</v>
      </c>
      <c r="D601" s="8" t="s">
        <v>176</v>
      </c>
      <c r="E601" s="8" t="s">
        <v>349</v>
      </c>
      <c r="F601" t="s">
        <v>350</v>
      </c>
      <c r="G601" t="s">
        <v>12</v>
      </c>
      <c r="H601" s="4">
        <v>9.8154284603925113E-2</v>
      </c>
      <c r="I601" t="str">
        <f t="shared" si="9"/>
        <v>Batrachoides  surinamensisPacu</v>
      </c>
    </row>
    <row r="602" spans="1:9" x14ac:dyDescent="0.35">
      <c r="A602" s="8">
        <v>34</v>
      </c>
      <c r="B602" s="8">
        <v>2018</v>
      </c>
      <c r="C602" s="8">
        <v>3</v>
      </c>
      <c r="D602" s="8" t="s">
        <v>176</v>
      </c>
      <c r="E602" s="8" t="s">
        <v>349</v>
      </c>
      <c r="F602" t="s">
        <v>15</v>
      </c>
      <c r="G602" t="s">
        <v>16</v>
      </c>
      <c r="H602" s="4">
        <v>2.1593942612863528</v>
      </c>
      <c r="I602" t="str">
        <f t="shared" si="9"/>
        <v>Nebris micropsButterfish</v>
      </c>
    </row>
    <row r="603" spans="1:9" x14ac:dyDescent="0.35">
      <c r="A603" s="8">
        <v>34</v>
      </c>
      <c r="B603" s="8">
        <v>2018</v>
      </c>
      <c r="C603" s="8">
        <v>3</v>
      </c>
      <c r="D603" s="8" t="s">
        <v>176</v>
      </c>
      <c r="E603" s="8" t="s">
        <v>349</v>
      </c>
      <c r="F603" t="s">
        <v>49</v>
      </c>
      <c r="G603" t="s">
        <v>354</v>
      </c>
      <c r="H603" s="4">
        <v>0.11</v>
      </c>
      <c r="I603" t="str">
        <f t="shared" si="9"/>
        <v>Polydactylus virginicusBeard fish</v>
      </c>
    </row>
    <row r="604" spans="1:9" x14ac:dyDescent="0.35">
      <c r="A604" s="8">
        <v>34</v>
      </c>
      <c r="B604" s="8">
        <v>2018</v>
      </c>
      <c r="C604" s="8">
        <v>3</v>
      </c>
      <c r="D604" s="8" t="s">
        <v>176</v>
      </c>
      <c r="E604" s="8" t="s">
        <v>349</v>
      </c>
      <c r="F604" t="s">
        <v>42</v>
      </c>
      <c r="G604" t="s">
        <v>126</v>
      </c>
      <c r="H604" s="4">
        <v>0.29000129542068787</v>
      </c>
      <c r="I604" t="str">
        <f t="shared" si="9"/>
        <v>Paralonchurus  elegansChinese Butterfish</v>
      </c>
    </row>
    <row r="605" spans="1:9" x14ac:dyDescent="0.35">
      <c r="A605" s="8">
        <v>34</v>
      </c>
      <c r="B605" s="8">
        <v>2018</v>
      </c>
      <c r="C605" s="8">
        <v>3</v>
      </c>
      <c r="D605" s="8" t="s">
        <v>176</v>
      </c>
      <c r="E605" s="8" t="s">
        <v>349</v>
      </c>
      <c r="F605" t="s">
        <v>5</v>
      </c>
      <c r="G605" t="s">
        <v>4</v>
      </c>
      <c r="H605" s="4">
        <v>1.9630856920785025</v>
      </c>
      <c r="I605" t="str">
        <f t="shared" si="9"/>
        <v>Bagre bagreCatfish</v>
      </c>
    </row>
    <row r="606" spans="1:9" x14ac:dyDescent="0.35">
      <c r="A606" s="8">
        <v>34</v>
      </c>
      <c r="B606" s="8">
        <v>2018</v>
      </c>
      <c r="C606" s="8">
        <v>3</v>
      </c>
      <c r="D606" s="8" t="s">
        <v>176</v>
      </c>
      <c r="E606" s="8" t="s">
        <v>349</v>
      </c>
      <c r="F606" t="s">
        <v>43</v>
      </c>
      <c r="G606" t="s">
        <v>57</v>
      </c>
      <c r="H606" s="4">
        <v>8.2984986074227614</v>
      </c>
      <c r="I606" t="str">
        <f t="shared" si="9"/>
        <v>Cynoscion virescensSeatrout</v>
      </c>
    </row>
    <row r="607" spans="1:9" x14ac:dyDescent="0.35">
      <c r="A607" s="8">
        <v>34</v>
      </c>
      <c r="B607" s="8">
        <v>2018</v>
      </c>
      <c r="C607" s="8">
        <v>3</v>
      </c>
      <c r="D607" s="8" t="s">
        <v>176</v>
      </c>
      <c r="E607" s="8" t="s">
        <v>349</v>
      </c>
      <c r="F607" t="s">
        <v>40</v>
      </c>
      <c r="G607" t="s">
        <v>35</v>
      </c>
      <c r="H607" s="4">
        <v>11.198511561629639</v>
      </c>
      <c r="I607" t="str">
        <f t="shared" si="9"/>
        <v>Macrodon ancylodonBangamary</v>
      </c>
    </row>
    <row r="608" spans="1:9" x14ac:dyDescent="0.35">
      <c r="A608" s="8">
        <v>34</v>
      </c>
      <c r="B608" s="8">
        <v>2018</v>
      </c>
      <c r="C608" s="8">
        <v>3</v>
      </c>
      <c r="D608" s="8" t="s">
        <v>176</v>
      </c>
      <c r="E608" s="8" t="s">
        <v>349</v>
      </c>
      <c r="F608" t="s">
        <v>21</v>
      </c>
      <c r="G608" t="s">
        <v>59</v>
      </c>
      <c r="H608" s="4">
        <v>3.8369402163352544</v>
      </c>
      <c r="I608" t="str">
        <f t="shared" si="9"/>
        <v>Stellifer micropsRockhead</v>
      </c>
    </row>
    <row r="609" spans="1:9" x14ac:dyDescent="0.35">
      <c r="A609" s="8">
        <v>34</v>
      </c>
      <c r="B609" s="8">
        <v>2018</v>
      </c>
      <c r="C609" s="8">
        <v>3</v>
      </c>
      <c r="D609" s="8" t="s">
        <v>176</v>
      </c>
      <c r="E609" s="8" t="s">
        <v>349</v>
      </c>
      <c r="F609" t="s">
        <v>58</v>
      </c>
      <c r="G609" t="s">
        <v>59</v>
      </c>
      <c r="H609" s="4">
        <v>0.82538830235118854</v>
      </c>
      <c r="I609" t="str">
        <f t="shared" si="9"/>
        <v>Stellifer rastriferRockhead</v>
      </c>
    </row>
    <row r="610" spans="1:9" x14ac:dyDescent="0.35">
      <c r="A610" s="8">
        <v>34</v>
      </c>
      <c r="B610" s="8">
        <v>2018</v>
      </c>
      <c r="C610" s="8">
        <v>3</v>
      </c>
      <c r="D610" s="8" t="s">
        <v>176</v>
      </c>
      <c r="E610" s="8" t="s">
        <v>349</v>
      </c>
      <c r="F610" t="s">
        <v>6</v>
      </c>
      <c r="G610" t="s">
        <v>37</v>
      </c>
      <c r="H610" s="4">
        <v>2.7438584105188157</v>
      </c>
      <c r="I610" t="str">
        <f t="shared" si="9"/>
        <v>Symphurus plagusiaTongue fish</v>
      </c>
    </row>
    <row r="611" spans="1:9" x14ac:dyDescent="0.35">
      <c r="A611" s="8">
        <v>34</v>
      </c>
      <c r="B611" s="8">
        <v>2018</v>
      </c>
      <c r="C611" s="8">
        <v>3</v>
      </c>
      <c r="D611" s="8" t="s">
        <v>176</v>
      </c>
      <c r="E611" s="8" t="s">
        <v>349</v>
      </c>
      <c r="F611" t="s">
        <v>7</v>
      </c>
      <c r="G611" t="s">
        <v>289</v>
      </c>
      <c r="H611" s="4">
        <v>0.44169428071766309</v>
      </c>
      <c r="I611" t="str">
        <f t="shared" si="9"/>
        <v>Achirus achirusDrab sole</v>
      </c>
    </row>
    <row r="612" spans="1:9" x14ac:dyDescent="0.35">
      <c r="A612" s="8">
        <v>34</v>
      </c>
      <c r="B612" s="8">
        <v>2018</v>
      </c>
      <c r="C612" s="8">
        <v>3</v>
      </c>
      <c r="D612" s="8" t="s">
        <v>176</v>
      </c>
      <c r="E612" s="8" t="s">
        <v>349</v>
      </c>
      <c r="F612" t="s">
        <v>2</v>
      </c>
      <c r="G612" t="s">
        <v>307</v>
      </c>
      <c r="H612" s="4">
        <v>0.4</v>
      </c>
      <c r="I612" t="str">
        <f t="shared" si="9"/>
        <v>Gymnura micruraButterfly stingray</v>
      </c>
    </row>
    <row r="613" spans="1:9" x14ac:dyDescent="0.35">
      <c r="A613" s="8">
        <v>34</v>
      </c>
      <c r="B613" s="8">
        <v>2018</v>
      </c>
      <c r="C613" s="8">
        <v>3</v>
      </c>
      <c r="D613" s="8" t="s">
        <v>176</v>
      </c>
      <c r="E613" s="8" t="s">
        <v>349</v>
      </c>
      <c r="F613" t="s">
        <v>3</v>
      </c>
      <c r="G613" t="s">
        <v>308</v>
      </c>
      <c r="H613" s="4">
        <v>0.3</v>
      </c>
      <c r="I613" t="str">
        <f t="shared" si="9"/>
        <v>Ophichtus gomesiShrimp eel</v>
      </c>
    </row>
    <row r="614" spans="1:9" x14ac:dyDescent="0.35">
      <c r="A614" s="8">
        <v>34</v>
      </c>
      <c r="B614" s="8">
        <v>2018</v>
      </c>
      <c r="C614" s="8">
        <v>3</v>
      </c>
      <c r="D614" s="8" t="s">
        <v>176</v>
      </c>
      <c r="E614" s="8" t="s">
        <v>349</v>
      </c>
      <c r="F614" t="s">
        <v>80</v>
      </c>
      <c r="G614" t="s">
        <v>290</v>
      </c>
      <c r="H614" s="4">
        <v>1.5615454368806267</v>
      </c>
      <c r="I614" t="str">
        <f t="shared" si="9"/>
        <v>Apionichthys dumeriliLongtail sole</v>
      </c>
    </row>
    <row r="615" spans="1:9" x14ac:dyDescent="0.35">
      <c r="A615" s="8">
        <v>35</v>
      </c>
      <c r="B615" s="8">
        <v>2018</v>
      </c>
      <c r="C615" s="8">
        <v>4</v>
      </c>
      <c r="D615" s="8" t="s">
        <v>175</v>
      </c>
      <c r="E615" s="8" t="s">
        <v>349</v>
      </c>
      <c r="F615" t="s">
        <v>276</v>
      </c>
      <c r="G615" t="s">
        <v>277</v>
      </c>
      <c r="H615" s="4">
        <v>231.0280767338908</v>
      </c>
      <c r="I615" t="str">
        <f t="shared" si="9"/>
        <v>Xiphopenaeus kroyeriSeabob</v>
      </c>
    </row>
    <row r="616" spans="1:9" x14ac:dyDescent="0.35">
      <c r="A616" s="8">
        <v>35</v>
      </c>
      <c r="B616" s="8">
        <v>2018</v>
      </c>
      <c r="C616" s="8">
        <v>4</v>
      </c>
      <c r="D616" s="8" t="s">
        <v>175</v>
      </c>
      <c r="E616" s="8" t="s">
        <v>349</v>
      </c>
      <c r="F616" t="s">
        <v>283</v>
      </c>
      <c r="G616" t="s">
        <v>284</v>
      </c>
      <c r="H616" s="4">
        <v>4.3529365469749139</v>
      </c>
      <c r="I616" t="str">
        <f t="shared" si="9"/>
        <v>Paralonchurus braziliensisBanded croaker</v>
      </c>
    </row>
    <row r="617" spans="1:9" x14ac:dyDescent="0.35">
      <c r="A617" s="8">
        <v>35</v>
      </c>
      <c r="B617" s="8">
        <v>2018</v>
      </c>
      <c r="C617" s="8">
        <v>4</v>
      </c>
      <c r="D617" s="8" t="s">
        <v>175</v>
      </c>
      <c r="E617" s="8" t="s">
        <v>349</v>
      </c>
      <c r="F617" t="s">
        <v>121</v>
      </c>
      <c r="G617" t="s">
        <v>44</v>
      </c>
      <c r="H617" s="4">
        <v>0.80609936055090992</v>
      </c>
      <c r="I617" t="str">
        <f t="shared" si="9"/>
        <v>Anchoa mitchilliNegli</v>
      </c>
    </row>
    <row r="618" spans="1:9" x14ac:dyDescent="0.35">
      <c r="A618" s="8">
        <v>35</v>
      </c>
      <c r="B618" s="8">
        <v>2018</v>
      </c>
      <c r="C618" s="8">
        <v>4</v>
      </c>
      <c r="D618" s="8" t="s">
        <v>175</v>
      </c>
      <c r="E618" s="8" t="s">
        <v>349</v>
      </c>
      <c r="F618" t="s">
        <v>42</v>
      </c>
      <c r="G618" t="s">
        <v>126</v>
      </c>
      <c r="H618" s="4">
        <v>0.8262518445646827</v>
      </c>
      <c r="I618" t="str">
        <f t="shared" si="9"/>
        <v>Paralonchurus  elegansChinese Butterfish</v>
      </c>
    </row>
    <row r="619" spans="1:9" x14ac:dyDescent="0.35">
      <c r="A619" s="8">
        <v>35</v>
      </c>
      <c r="B619" s="8">
        <v>2018</v>
      </c>
      <c r="C619" s="8">
        <v>4</v>
      </c>
      <c r="D619" s="8" t="s">
        <v>175</v>
      </c>
      <c r="E619" s="8" t="s">
        <v>349</v>
      </c>
      <c r="F619" t="s">
        <v>350</v>
      </c>
      <c r="G619" t="s">
        <v>12</v>
      </c>
      <c r="H619" s="4">
        <v>0.10076242006886374</v>
      </c>
      <c r="I619" t="str">
        <f t="shared" si="9"/>
        <v>Batrachoides  surinamensisPacu</v>
      </c>
    </row>
    <row r="620" spans="1:9" x14ac:dyDescent="0.35">
      <c r="A620" s="8">
        <v>35</v>
      </c>
      <c r="B620" s="8">
        <v>2018</v>
      </c>
      <c r="C620" s="8">
        <v>4</v>
      </c>
      <c r="D620" s="8" t="s">
        <v>175</v>
      </c>
      <c r="E620" s="8" t="s">
        <v>349</v>
      </c>
      <c r="F620" t="s">
        <v>41</v>
      </c>
      <c r="G620" t="s">
        <v>10</v>
      </c>
      <c r="H620" s="4">
        <v>9.0686178061977374E-2</v>
      </c>
      <c r="I620" t="str">
        <f t="shared" si="9"/>
        <v>Chaetodipterus faberSea Donkey</v>
      </c>
    </row>
    <row r="621" spans="1:9" x14ac:dyDescent="0.35">
      <c r="A621" s="8">
        <v>35</v>
      </c>
      <c r="B621" s="8">
        <v>2018</v>
      </c>
      <c r="C621" s="8">
        <v>4</v>
      </c>
      <c r="D621" s="8" t="s">
        <v>175</v>
      </c>
      <c r="E621" s="8" t="s">
        <v>349</v>
      </c>
      <c r="F621" t="s">
        <v>43</v>
      </c>
      <c r="G621" t="s">
        <v>57</v>
      </c>
      <c r="H621" s="4">
        <v>4.5544613871126405</v>
      </c>
      <c r="I621" t="str">
        <f t="shared" si="9"/>
        <v>Cynoscion virescensSeatrout</v>
      </c>
    </row>
    <row r="622" spans="1:9" x14ac:dyDescent="0.35">
      <c r="A622" s="8">
        <v>35</v>
      </c>
      <c r="B622" s="8">
        <v>2018</v>
      </c>
      <c r="C622" s="8">
        <v>4</v>
      </c>
      <c r="D622" s="8" t="s">
        <v>175</v>
      </c>
      <c r="E622" s="8" t="s">
        <v>349</v>
      </c>
      <c r="F622" t="s">
        <v>40</v>
      </c>
      <c r="G622" t="s">
        <v>35</v>
      </c>
      <c r="H622" s="4">
        <v>9.7739547466797809</v>
      </c>
      <c r="I622" t="str">
        <f t="shared" si="9"/>
        <v>Macrodon ancylodonBangamary</v>
      </c>
    </row>
    <row r="623" spans="1:9" x14ac:dyDescent="0.35">
      <c r="A623" s="8">
        <v>35</v>
      </c>
      <c r="B623" s="8">
        <v>2018</v>
      </c>
      <c r="C623" s="8">
        <v>4</v>
      </c>
      <c r="D623" s="8" t="s">
        <v>175</v>
      </c>
      <c r="E623" s="8" t="s">
        <v>349</v>
      </c>
      <c r="F623" t="s">
        <v>39</v>
      </c>
      <c r="G623" t="s">
        <v>288</v>
      </c>
      <c r="H623" s="4">
        <v>1.1285391047712741</v>
      </c>
      <c r="I623" t="str">
        <f t="shared" si="9"/>
        <v>Colomesus psittacusBanded puffer</v>
      </c>
    </row>
    <row r="624" spans="1:9" x14ac:dyDescent="0.35">
      <c r="A624" s="8">
        <v>35</v>
      </c>
      <c r="B624" s="8">
        <v>2018</v>
      </c>
      <c r="C624" s="8">
        <v>4</v>
      </c>
      <c r="D624" s="8" t="s">
        <v>175</v>
      </c>
      <c r="E624" s="8" t="s">
        <v>349</v>
      </c>
      <c r="F624" t="s">
        <v>58</v>
      </c>
      <c r="G624" t="s">
        <v>59</v>
      </c>
      <c r="H624" s="4">
        <v>3.5266847024102308</v>
      </c>
      <c r="I624" t="str">
        <f t="shared" si="9"/>
        <v>Stellifer rastriferRockhead</v>
      </c>
    </row>
    <row r="625" spans="1:9" x14ac:dyDescent="0.35">
      <c r="A625" s="8">
        <v>35</v>
      </c>
      <c r="B625" s="8">
        <v>2018</v>
      </c>
      <c r="C625" s="8">
        <v>4</v>
      </c>
      <c r="D625" s="8" t="s">
        <v>175</v>
      </c>
      <c r="E625" s="8" t="s">
        <v>349</v>
      </c>
      <c r="F625" t="s">
        <v>6</v>
      </c>
      <c r="G625" t="s">
        <v>37</v>
      </c>
      <c r="H625" s="4">
        <v>1.2494540088539106</v>
      </c>
      <c r="I625" t="str">
        <f t="shared" si="9"/>
        <v>Symphurus plagusiaTongue fish</v>
      </c>
    </row>
    <row r="626" spans="1:9" x14ac:dyDescent="0.35">
      <c r="A626" s="8">
        <v>35</v>
      </c>
      <c r="B626" s="8">
        <v>2018</v>
      </c>
      <c r="C626" s="8">
        <v>4</v>
      </c>
      <c r="D626" s="8" t="s">
        <v>175</v>
      </c>
      <c r="E626" s="8" t="s">
        <v>349</v>
      </c>
      <c r="F626" t="s">
        <v>7</v>
      </c>
      <c r="G626" t="s">
        <v>289</v>
      </c>
      <c r="H626" s="4">
        <v>0.10076242006886374</v>
      </c>
      <c r="I626" t="str">
        <f t="shared" si="9"/>
        <v>Achirus achirusDrab sole</v>
      </c>
    </row>
    <row r="627" spans="1:9" x14ac:dyDescent="0.35">
      <c r="A627" s="8">
        <v>35</v>
      </c>
      <c r="B627" s="8">
        <v>2018</v>
      </c>
      <c r="C627" s="8">
        <v>4</v>
      </c>
      <c r="D627" s="8" t="s">
        <v>175</v>
      </c>
      <c r="E627" s="8" t="s">
        <v>349</v>
      </c>
      <c r="F627" t="s">
        <v>1</v>
      </c>
      <c r="G627" t="s">
        <v>291</v>
      </c>
      <c r="H627" s="4">
        <v>1.450978848991638</v>
      </c>
      <c r="I627" t="str">
        <f t="shared" si="9"/>
        <v>Dastyis guttataLongnose stingray</v>
      </c>
    </row>
    <row r="628" spans="1:9" x14ac:dyDescent="0.35">
      <c r="A628" s="8">
        <v>35</v>
      </c>
      <c r="B628" s="8">
        <v>2018</v>
      </c>
      <c r="C628" s="8">
        <v>4</v>
      </c>
      <c r="D628" s="8" t="s">
        <v>175</v>
      </c>
      <c r="E628" s="8" t="s">
        <v>349</v>
      </c>
      <c r="F628" t="s">
        <v>129</v>
      </c>
      <c r="G628" t="s">
        <v>306</v>
      </c>
      <c r="H628" s="4">
        <v>1.1285391047712741</v>
      </c>
      <c r="I628" t="str">
        <f t="shared" si="9"/>
        <v>Dasyatis geijskesiSharpsnout stingray</v>
      </c>
    </row>
    <row r="629" spans="1:9" x14ac:dyDescent="0.35">
      <c r="A629" s="8">
        <v>35</v>
      </c>
      <c r="B629" s="8">
        <v>2018</v>
      </c>
      <c r="C629" s="8">
        <v>4</v>
      </c>
      <c r="D629" s="8" t="s">
        <v>175</v>
      </c>
      <c r="E629" s="8" t="s">
        <v>349</v>
      </c>
      <c r="F629" t="s">
        <v>309</v>
      </c>
      <c r="G629" t="s">
        <v>310</v>
      </c>
      <c r="H629" s="4">
        <v>6.1868125922282342</v>
      </c>
      <c r="I629" t="str">
        <f t="shared" si="9"/>
        <v>Cynoponticus savannaGuyana pike-conger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3CA79-8D03-4A83-985D-9EDA95E3887D}">
  <sheetPr codeName="Sheet5"/>
  <dimension ref="A1:I2564"/>
  <sheetViews>
    <sheetView workbookViewId="0">
      <pane ySplit="1" topLeftCell="A5" activePane="bottomLeft" state="frozen"/>
      <selection pane="bottomLeft" activeCell="D13" sqref="D13"/>
    </sheetView>
  </sheetViews>
  <sheetFormatPr defaultRowHeight="14.5" x14ac:dyDescent="0.35"/>
  <cols>
    <col min="1" max="1" width="3.90625" bestFit="1" customWidth="1"/>
    <col min="2" max="2" width="6.90625" bestFit="1" customWidth="1"/>
    <col min="3" max="3" width="7.08984375" bestFit="1" customWidth="1"/>
    <col min="4" max="4" width="6.81640625" bestFit="1" customWidth="1"/>
    <col min="5" max="5" width="7.7265625" bestFit="1" customWidth="1"/>
    <col min="6" max="6" width="24.36328125" bestFit="1" customWidth="1"/>
    <col min="7" max="7" width="19.90625" bestFit="1" customWidth="1"/>
    <col min="8" max="8" width="12.26953125" style="4" bestFit="1" customWidth="1"/>
    <col min="9" max="9" width="42.90625" bestFit="1" customWidth="1"/>
  </cols>
  <sheetData>
    <row r="1" spans="1:9" x14ac:dyDescent="0.35">
      <c r="A1" s="1" t="s">
        <v>146</v>
      </c>
      <c r="B1" s="1" t="s">
        <v>196</v>
      </c>
      <c r="C1" s="1" t="s">
        <v>395</v>
      </c>
      <c r="D1" s="1" t="s">
        <v>136</v>
      </c>
      <c r="E1" s="1" t="s">
        <v>347</v>
      </c>
      <c r="F1" s="1" t="s">
        <v>150</v>
      </c>
      <c r="G1" s="1" t="s">
        <v>136</v>
      </c>
      <c r="H1" s="6" t="s">
        <v>190</v>
      </c>
      <c r="I1" s="1" t="s">
        <v>216</v>
      </c>
    </row>
    <row r="2" spans="1:9" x14ac:dyDescent="0.35">
      <c r="A2">
        <v>4</v>
      </c>
      <c r="B2">
        <v>2015</v>
      </c>
      <c r="C2">
        <v>10</v>
      </c>
      <c r="D2" t="s">
        <v>176</v>
      </c>
      <c r="E2" t="s">
        <v>348</v>
      </c>
      <c r="F2" t="s">
        <v>1</v>
      </c>
      <c r="G2" t="s">
        <v>291</v>
      </c>
      <c r="H2" s="4">
        <v>30</v>
      </c>
      <c r="I2" t="str">
        <f>CONCATENATE(F2,G2)</f>
        <v>Dastyis guttataLongnose stingray</v>
      </c>
    </row>
    <row r="3" spans="1:9" x14ac:dyDescent="0.35">
      <c r="A3">
        <v>4</v>
      </c>
      <c r="B3">
        <v>2015</v>
      </c>
      <c r="C3">
        <v>10</v>
      </c>
      <c r="D3" t="s">
        <v>176</v>
      </c>
      <c r="E3" t="s">
        <v>348</v>
      </c>
      <c r="F3" t="s">
        <v>1</v>
      </c>
      <c r="G3" t="s">
        <v>291</v>
      </c>
      <c r="H3" s="4">
        <v>34</v>
      </c>
      <c r="I3" t="str">
        <f t="shared" ref="I3:I66" si="0">CONCATENATE(F3,G3)</f>
        <v>Dastyis guttataLongnose stingray</v>
      </c>
    </row>
    <row r="4" spans="1:9" x14ac:dyDescent="0.35">
      <c r="A4">
        <v>4</v>
      </c>
      <c r="B4">
        <v>2015</v>
      </c>
      <c r="C4">
        <v>10</v>
      </c>
      <c r="D4" t="s">
        <v>176</v>
      </c>
      <c r="E4" t="s">
        <v>348</v>
      </c>
      <c r="F4" t="s">
        <v>1</v>
      </c>
      <c r="G4" t="s">
        <v>291</v>
      </c>
      <c r="H4" s="4">
        <v>15</v>
      </c>
      <c r="I4" t="str">
        <f t="shared" si="0"/>
        <v>Dastyis guttataLongnose stingray</v>
      </c>
    </row>
    <row r="5" spans="1:9" x14ac:dyDescent="0.35">
      <c r="A5">
        <v>4</v>
      </c>
      <c r="B5">
        <v>2015</v>
      </c>
      <c r="C5">
        <v>10</v>
      </c>
      <c r="D5" t="s">
        <v>176</v>
      </c>
      <c r="E5" t="s">
        <v>348</v>
      </c>
      <c r="F5" t="s">
        <v>1</v>
      </c>
      <c r="G5" t="s">
        <v>291</v>
      </c>
      <c r="H5" s="4">
        <v>18</v>
      </c>
      <c r="I5" t="str">
        <f t="shared" si="0"/>
        <v>Dastyis guttataLongnose stingray</v>
      </c>
    </row>
    <row r="6" spans="1:9" x14ac:dyDescent="0.35">
      <c r="A6">
        <v>4</v>
      </c>
      <c r="B6">
        <v>2015</v>
      </c>
      <c r="C6">
        <v>10</v>
      </c>
      <c r="D6" t="s">
        <v>176</v>
      </c>
      <c r="E6" t="s">
        <v>348</v>
      </c>
      <c r="F6" t="s">
        <v>1</v>
      </c>
      <c r="G6" t="s">
        <v>291</v>
      </c>
      <c r="H6" s="4">
        <v>16</v>
      </c>
      <c r="I6" t="str">
        <f t="shared" si="0"/>
        <v>Dastyis guttataLongnose stingray</v>
      </c>
    </row>
    <row r="7" spans="1:9" x14ac:dyDescent="0.35">
      <c r="A7">
        <v>4</v>
      </c>
      <c r="B7">
        <v>2015</v>
      </c>
      <c r="C7">
        <v>10</v>
      </c>
      <c r="D7" t="s">
        <v>176</v>
      </c>
      <c r="E7" t="s">
        <v>348</v>
      </c>
      <c r="F7" t="s">
        <v>1</v>
      </c>
      <c r="G7" t="s">
        <v>291</v>
      </c>
      <c r="H7" s="4">
        <v>17</v>
      </c>
      <c r="I7" t="str">
        <f t="shared" si="0"/>
        <v>Dastyis guttataLongnose stingray</v>
      </c>
    </row>
    <row r="8" spans="1:9" x14ac:dyDescent="0.35">
      <c r="A8">
        <v>4</v>
      </c>
      <c r="B8">
        <v>2015</v>
      </c>
      <c r="C8">
        <v>10</v>
      </c>
      <c r="D8" t="s">
        <v>176</v>
      </c>
      <c r="E8" t="s">
        <v>348</v>
      </c>
      <c r="F8" t="s">
        <v>1</v>
      </c>
      <c r="G8" t="s">
        <v>291</v>
      </c>
      <c r="H8" s="4">
        <v>14</v>
      </c>
      <c r="I8" t="str">
        <f t="shared" si="0"/>
        <v>Dastyis guttataLongnose stingray</v>
      </c>
    </row>
    <row r="9" spans="1:9" x14ac:dyDescent="0.35">
      <c r="A9">
        <v>4</v>
      </c>
      <c r="B9">
        <v>2015</v>
      </c>
      <c r="C9">
        <v>10</v>
      </c>
      <c r="D9" t="s">
        <v>176</v>
      </c>
      <c r="E9" t="s">
        <v>348</v>
      </c>
      <c r="F9" t="s">
        <v>2</v>
      </c>
      <c r="G9" t="s">
        <v>307</v>
      </c>
      <c r="H9" s="4">
        <v>22</v>
      </c>
      <c r="I9" t="str">
        <f t="shared" si="0"/>
        <v>Gymnura micruraButterfly stingray</v>
      </c>
    </row>
    <row r="10" spans="1:9" x14ac:dyDescent="0.35">
      <c r="A10">
        <v>4</v>
      </c>
      <c r="B10">
        <v>2015</v>
      </c>
      <c r="C10">
        <v>10</v>
      </c>
      <c r="D10" t="s">
        <v>176</v>
      </c>
      <c r="E10" t="s">
        <v>348</v>
      </c>
      <c r="F10" t="s">
        <v>2</v>
      </c>
      <c r="G10" t="s">
        <v>307</v>
      </c>
      <c r="H10" s="4">
        <v>22</v>
      </c>
      <c r="I10" t="str">
        <f t="shared" si="0"/>
        <v>Gymnura micruraButterfly stingray</v>
      </c>
    </row>
    <row r="11" spans="1:9" x14ac:dyDescent="0.35">
      <c r="A11">
        <v>4</v>
      </c>
      <c r="B11">
        <v>2015</v>
      </c>
      <c r="C11">
        <v>10</v>
      </c>
      <c r="D11" t="s">
        <v>176</v>
      </c>
      <c r="E11" t="s">
        <v>348</v>
      </c>
      <c r="F11" t="s">
        <v>2</v>
      </c>
      <c r="G11" t="s">
        <v>307</v>
      </c>
      <c r="H11" s="4">
        <v>20</v>
      </c>
      <c r="I11" t="str">
        <f t="shared" si="0"/>
        <v>Gymnura micruraButterfly stingray</v>
      </c>
    </row>
    <row r="12" spans="1:9" x14ac:dyDescent="0.35">
      <c r="A12">
        <v>4</v>
      </c>
      <c r="B12">
        <v>2015</v>
      </c>
      <c r="C12">
        <v>10</v>
      </c>
      <c r="D12" t="s">
        <v>176</v>
      </c>
      <c r="E12" t="s">
        <v>348</v>
      </c>
      <c r="F12" t="s">
        <v>2</v>
      </c>
      <c r="G12" t="s">
        <v>307</v>
      </c>
      <c r="H12" s="4">
        <v>21</v>
      </c>
      <c r="I12" t="str">
        <f t="shared" si="0"/>
        <v>Gymnura micruraButterfly stingray</v>
      </c>
    </row>
    <row r="13" spans="1:9" x14ac:dyDescent="0.35">
      <c r="A13">
        <v>4</v>
      </c>
      <c r="B13">
        <v>2015</v>
      </c>
      <c r="C13">
        <v>10</v>
      </c>
      <c r="D13" t="s">
        <v>176</v>
      </c>
      <c r="E13" t="s">
        <v>348</v>
      </c>
      <c r="F13" t="s">
        <v>2</v>
      </c>
      <c r="G13" t="s">
        <v>307</v>
      </c>
      <c r="H13" s="4">
        <v>20</v>
      </c>
      <c r="I13" t="str">
        <f t="shared" si="0"/>
        <v>Gymnura micruraButterfly stingray</v>
      </c>
    </row>
    <row r="14" spans="1:9" x14ac:dyDescent="0.35">
      <c r="A14">
        <v>4</v>
      </c>
      <c r="B14">
        <v>2015</v>
      </c>
      <c r="C14">
        <v>10</v>
      </c>
      <c r="D14" t="s">
        <v>176</v>
      </c>
      <c r="E14" t="s">
        <v>348</v>
      </c>
      <c r="F14" t="s">
        <v>2</v>
      </c>
      <c r="G14" t="s">
        <v>307</v>
      </c>
      <c r="H14" s="4">
        <v>25</v>
      </c>
      <c r="I14" t="str">
        <f t="shared" si="0"/>
        <v>Gymnura micruraButterfly stingray</v>
      </c>
    </row>
    <row r="15" spans="1:9" x14ac:dyDescent="0.35">
      <c r="A15">
        <v>4</v>
      </c>
      <c r="B15">
        <v>2015</v>
      </c>
      <c r="C15">
        <v>10</v>
      </c>
      <c r="D15" t="s">
        <v>176</v>
      </c>
      <c r="E15" t="s">
        <v>348</v>
      </c>
      <c r="F15" t="s">
        <v>2</v>
      </c>
      <c r="G15" t="s">
        <v>307</v>
      </c>
      <c r="H15" s="4">
        <v>21</v>
      </c>
      <c r="I15" t="str">
        <f t="shared" si="0"/>
        <v>Gymnura micruraButterfly stingray</v>
      </c>
    </row>
    <row r="16" spans="1:9" x14ac:dyDescent="0.35">
      <c r="A16">
        <v>4</v>
      </c>
      <c r="B16">
        <v>2015</v>
      </c>
      <c r="C16">
        <v>10</v>
      </c>
      <c r="D16" t="s">
        <v>176</v>
      </c>
      <c r="E16" t="s">
        <v>348</v>
      </c>
      <c r="F16" t="s">
        <v>2</v>
      </c>
      <c r="G16" t="s">
        <v>307</v>
      </c>
      <c r="H16" s="4">
        <v>20</v>
      </c>
      <c r="I16" t="str">
        <f t="shared" si="0"/>
        <v>Gymnura micruraButterfly stingray</v>
      </c>
    </row>
    <row r="17" spans="1:9" x14ac:dyDescent="0.35">
      <c r="A17">
        <v>4</v>
      </c>
      <c r="B17">
        <v>2015</v>
      </c>
      <c r="C17">
        <v>10</v>
      </c>
      <c r="D17" t="s">
        <v>176</v>
      </c>
      <c r="E17" t="s">
        <v>348</v>
      </c>
      <c r="F17" t="s">
        <v>2</v>
      </c>
      <c r="G17" t="s">
        <v>307</v>
      </c>
      <c r="H17" s="4">
        <v>21</v>
      </c>
      <c r="I17" t="str">
        <f t="shared" si="0"/>
        <v>Gymnura micruraButterfly stingray</v>
      </c>
    </row>
    <row r="18" spans="1:9" x14ac:dyDescent="0.35">
      <c r="A18">
        <v>4</v>
      </c>
      <c r="B18">
        <v>2015</v>
      </c>
      <c r="C18">
        <v>10</v>
      </c>
      <c r="D18" t="s">
        <v>176</v>
      </c>
      <c r="E18" t="s">
        <v>348</v>
      </c>
      <c r="F18" t="s">
        <v>2</v>
      </c>
      <c r="G18" t="s">
        <v>307</v>
      </c>
      <c r="H18" s="4">
        <v>22</v>
      </c>
      <c r="I18" t="str">
        <f t="shared" si="0"/>
        <v>Gymnura micruraButterfly stingray</v>
      </c>
    </row>
    <row r="19" spans="1:9" x14ac:dyDescent="0.35">
      <c r="A19">
        <v>4</v>
      </c>
      <c r="B19">
        <v>2015</v>
      </c>
      <c r="C19">
        <v>10</v>
      </c>
      <c r="D19" t="s">
        <v>176</v>
      </c>
      <c r="E19" t="s">
        <v>348</v>
      </c>
      <c r="F19" t="s">
        <v>7</v>
      </c>
      <c r="G19" t="s">
        <v>8</v>
      </c>
      <c r="H19" s="4">
        <v>8</v>
      </c>
      <c r="I19" t="str">
        <f t="shared" si="0"/>
        <v>Achirus achirusDrab Sole</v>
      </c>
    </row>
    <row r="20" spans="1:9" x14ac:dyDescent="0.35">
      <c r="A20">
        <v>4</v>
      </c>
      <c r="B20">
        <v>2015</v>
      </c>
      <c r="C20">
        <v>10</v>
      </c>
      <c r="D20" t="s">
        <v>176</v>
      </c>
      <c r="E20" t="s">
        <v>348</v>
      </c>
      <c r="F20" t="s">
        <v>7</v>
      </c>
      <c r="G20" t="s">
        <v>8</v>
      </c>
      <c r="H20" s="4">
        <v>16</v>
      </c>
      <c r="I20" t="str">
        <f t="shared" si="0"/>
        <v>Achirus achirusDrab Sole</v>
      </c>
    </row>
    <row r="21" spans="1:9" x14ac:dyDescent="0.35">
      <c r="A21">
        <v>4</v>
      </c>
      <c r="B21">
        <v>2015</v>
      </c>
      <c r="C21">
        <v>10</v>
      </c>
      <c r="D21" t="s">
        <v>176</v>
      </c>
      <c r="E21" t="s">
        <v>348</v>
      </c>
      <c r="F21" t="s">
        <v>7</v>
      </c>
      <c r="G21" t="s">
        <v>8</v>
      </c>
      <c r="H21" s="4">
        <v>7</v>
      </c>
      <c r="I21" t="str">
        <f t="shared" si="0"/>
        <v>Achirus achirusDrab Sole</v>
      </c>
    </row>
    <row r="22" spans="1:9" x14ac:dyDescent="0.35">
      <c r="A22">
        <v>4</v>
      </c>
      <c r="B22">
        <v>2015</v>
      </c>
      <c r="C22">
        <v>10</v>
      </c>
      <c r="D22" t="s">
        <v>176</v>
      </c>
      <c r="E22" t="s">
        <v>348</v>
      </c>
      <c r="F22" t="s">
        <v>7</v>
      </c>
      <c r="G22" t="s">
        <v>8</v>
      </c>
      <c r="H22" s="4">
        <v>8</v>
      </c>
      <c r="I22" t="str">
        <f t="shared" si="0"/>
        <v>Achirus achirusDrab Sole</v>
      </c>
    </row>
    <row r="23" spans="1:9" x14ac:dyDescent="0.35">
      <c r="A23">
        <v>4</v>
      </c>
      <c r="B23">
        <v>2015</v>
      </c>
      <c r="C23">
        <v>10</v>
      </c>
      <c r="D23" t="s">
        <v>176</v>
      </c>
      <c r="E23" t="s">
        <v>348</v>
      </c>
      <c r="F23" t="s">
        <v>7</v>
      </c>
      <c r="G23" t="s">
        <v>8</v>
      </c>
      <c r="H23" s="4">
        <v>8</v>
      </c>
      <c r="I23" t="str">
        <f t="shared" si="0"/>
        <v>Achirus achirusDrab Sole</v>
      </c>
    </row>
    <row r="24" spans="1:9" x14ac:dyDescent="0.35">
      <c r="A24">
        <v>4</v>
      </c>
      <c r="B24">
        <v>2015</v>
      </c>
      <c r="C24">
        <v>10</v>
      </c>
      <c r="D24" t="s">
        <v>176</v>
      </c>
      <c r="E24" t="s">
        <v>348</v>
      </c>
      <c r="F24" t="s">
        <v>7</v>
      </c>
      <c r="G24" t="s">
        <v>8</v>
      </c>
      <c r="H24" s="4">
        <v>7</v>
      </c>
      <c r="I24" t="str">
        <f t="shared" si="0"/>
        <v>Achirus achirusDrab Sole</v>
      </c>
    </row>
    <row r="25" spans="1:9" x14ac:dyDescent="0.35">
      <c r="A25">
        <v>4</v>
      </c>
      <c r="B25">
        <v>2015</v>
      </c>
      <c r="C25">
        <v>10</v>
      </c>
      <c r="D25" t="s">
        <v>176</v>
      </c>
      <c r="E25" t="s">
        <v>348</v>
      </c>
      <c r="F25" t="s">
        <v>7</v>
      </c>
      <c r="G25" t="s">
        <v>8</v>
      </c>
      <c r="H25" s="4">
        <v>7</v>
      </c>
      <c r="I25" t="str">
        <f t="shared" si="0"/>
        <v>Achirus achirusDrab Sole</v>
      </c>
    </row>
    <row r="26" spans="1:9" x14ac:dyDescent="0.35">
      <c r="A26">
        <v>4</v>
      </c>
      <c r="B26">
        <v>2015</v>
      </c>
      <c r="C26">
        <v>10</v>
      </c>
      <c r="D26" t="s">
        <v>176</v>
      </c>
      <c r="E26" t="s">
        <v>348</v>
      </c>
      <c r="F26" t="s">
        <v>7</v>
      </c>
      <c r="G26" t="s">
        <v>8</v>
      </c>
      <c r="H26" s="4">
        <v>7</v>
      </c>
      <c r="I26" t="str">
        <f t="shared" si="0"/>
        <v>Achirus achirusDrab Sole</v>
      </c>
    </row>
    <row r="27" spans="1:9" x14ac:dyDescent="0.35">
      <c r="A27">
        <v>4</v>
      </c>
      <c r="B27">
        <v>2015</v>
      </c>
      <c r="C27">
        <v>10</v>
      </c>
      <c r="D27" t="s">
        <v>176</v>
      </c>
      <c r="E27" t="s">
        <v>348</v>
      </c>
      <c r="F27" t="s">
        <v>7</v>
      </c>
      <c r="G27" t="s">
        <v>8</v>
      </c>
      <c r="H27" s="4">
        <v>7</v>
      </c>
      <c r="I27" t="str">
        <f t="shared" si="0"/>
        <v>Achirus achirusDrab Sole</v>
      </c>
    </row>
    <row r="28" spans="1:9" x14ac:dyDescent="0.35">
      <c r="A28">
        <v>4</v>
      </c>
      <c r="B28">
        <v>2015</v>
      </c>
      <c r="C28">
        <v>10</v>
      </c>
      <c r="D28" t="s">
        <v>176</v>
      </c>
      <c r="E28" t="s">
        <v>348</v>
      </c>
      <c r="F28" t="s">
        <v>7</v>
      </c>
      <c r="G28" t="s">
        <v>8</v>
      </c>
      <c r="H28" s="4">
        <v>7</v>
      </c>
      <c r="I28" t="str">
        <f t="shared" si="0"/>
        <v>Achirus achirusDrab Sole</v>
      </c>
    </row>
    <row r="29" spans="1:9" x14ac:dyDescent="0.35">
      <c r="A29">
        <v>4</v>
      </c>
      <c r="B29">
        <v>2015</v>
      </c>
      <c r="C29">
        <v>10</v>
      </c>
      <c r="D29" t="s">
        <v>176</v>
      </c>
      <c r="E29" t="s">
        <v>348</v>
      </c>
      <c r="F29" t="s">
        <v>7</v>
      </c>
      <c r="G29" t="s">
        <v>8</v>
      </c>
      <c r="H29" s="4">
        <v>7</v>
      </c>
      <c r="I29" t="str">
        <f t="shared" si="0"/>
        <v>Achirus achirusDrab Sole</v>
      </c>
    </row>
    <row r="30" spans="1:9" x14ac:dyDescent="0.35">
      <c r="A30">
        <v>4</v>
      </c>
      <c r="B30">
        <v>2015</v>
      </c>
      <c r="C30">
        <v>10</v>
      </c>
      <c r="D30" t="s">
        <v>176</v>
      </c>
      <c r="E30" t="s">
        <v>348</v>
      </c>
      <c r="F30" t="s">
        <v>6</v>
      </c>
      <c r="G30" t="s">
        <v>72</v>
      </c>
      <c r="H30" s="4">
        <v>15</v>
      </c>
      <c r="I30" t="str">
        <f t="shared" si="0"/>
        <v>Symphurus plagusiaTongue Fish</v>
      </c>
    </row>
    <row r="31" spans="1:9" x14ac:dyDescent="0.35">
      <c r="A31">
        <v>4</v>
      </c>
      <c r="B31">
        <v>2015</v>
      </c>
      <c r="C31">
        <v>10</v>
      </c>
      <c r="D31" t="s">
        <v>176</v>
      </c>
      <c r="E31" t="s">
        <v>348</v>
      </c>
      <c r="F31" t="s">
        <v>6</v>
      </c>
      <c r="G31" t="s">
        <v>72</v>
      </c>
      <c r="H31" s="4">
        <v>16</v>
      </c>
      <c r="I31" t="str">
        <f t="shared" si="0"/>
        <v>Symphurus plagusiaTongue Fish</v>
      </c>
    </row>
    <row r="32" spans="1:9" x14ac:dyDescent="0.35">
      <c r="A32">
        <v>4</v>
      </c>
      <c r="B32">
        <v>2015</v>
      </c>
      <c r="C32">
        <v>10</v>
      </c>
      <c r="D32" t="s">
        <v>176</v>
      </c>
      <c r="E32" t="s">
        <v>348</v>
      </c>
      <c r="F32" t="s">
        <v>6</v>
      </c>
      <c r="G32" t="s">
        <v>72</v>
      </c>
      <c r="H32" s="4">
        <v>14</v>
      </c>
      <c r="I32" t="str">
        <f t="shared" si="0"/>
        <v>Symphurus plagusiaTongue Fish</v>
      </c>
    </row>
    <row r="33" spans="1:9" x14ac:dyDescent="0.35">
      <c r="A33">
        <v>4</v>
      </c>
      <c r="B33">
        <v>2015</v>
      </c>
      <c r="C33">
        <v>10</v>
      </c>
      <c r="D33" t="s">
        <v>176</v>
      </c>
      <c r="E33" t="s">
        <v>348</v>
      </c>
      <c r="F33" t="s">
        <v>6</v>
      </c>
      <c r="G33" t="s">
        <v>72</v>
      </c>
      <c r="H33" s="4">
        <v>14</v>
      </c>
      <c r="I33" t="str">
        <f t="shared" si="0"/>
        <v>Symphurus plagusiaTongue Fish</v>
      </c>
    </row>
    <row r="34" spans="1:9" x14ac:dyDescent="0.35">
      <c r="A34">
        <v>4</v>
      </c>
      <c r="B34">
        <v>2015</v>
      </c>
      <c r="C34">
        <v>10</v>
      </c>
      <c r="D34" t="s">
        <v>176</v>
      </c>
      <c r="E34" t="s">
        <v>348</v>
      </c>
      <c r="F34" t="s">
        <v>6</v>
      </c>
      <c r="G34" t="s">
        <v>72</v>
      </c>
      <c r="H34" s="4">
        <v>10</v>
      </c>
      <c r="I34" t="str">
        <f t="shared" si="0"/>
        <v>Symphurus plagusiaTongue Fish</v>
      </c>
    </row>
    <row r="35" spans="1:9" x14ac:dyDescent="0.35">
      <c r="A35">
        <v>4</v>
      </c>
      <c r="B35">
        <v>2015</v>
      </c>
      <c r="C35">
        <v>10</v>
      </c>
      <c r="D35" t="s">
        <v>176</v>
      </c>
      <c r="E35" t="s">
        <v>348</v>
      </c>
      <c r="F35" t="s">
        <v>6</v>
      </c>
      <c r="G35" t="s">
        <v>72</v>
      </c>
      <c r="H35" s="4">
        <v>13</v>
      </c>
      <c r="I35" t="str">
        <f t="shared" si="0"/>
        <v>Symphurus plagusiaTongue Fish</v>
      </c>
    </row>
    <row r="36" spans="1:9" x14ac:dyDescent="0.35">
      <c r="A36">
        <v>4</v>
      </c>
      <c r="B36">
        <v>2015</v>
      </c>
      <c r="C36">
        <v>10</v>
      </c>
      <c r="D36" t="s">
        <v>176</v>
      </c>
      <c r="E36" t="s">
        <v>348</v>
      </c>
      <c r="F36" t="s">
        <v>6</v>
      </c>
      <c r="G36" t="s">
        <v>72</v>
      </c>
      <c r="H36" s="4">
        <v>9</v>
      </c>
      <c r="I36" t="str">
        <f t="shared" si="0"/>
        <v>Symphurus plagusiaTongue Fish</v>
      </c>
    </row>
    <row r="37" spans="1:9" x14ac:dyDescent="0.35">
      <c r="A37">
        <v>4</v>
      </c>
      <c r="B37">
        <v>2015</v>
      </c>
      <c r="C37">
        <v>10</v>
      </c>
      <c r="D37" t="s">
        <v>176</v>
      </c>
      <c r="E37" t="s">
        <v>348</v>
      </c>
      <c r="F37" t="s">
        <v>6</v>
      </c>
      <c r="G37" t="s">
        <v>72</v>
      </c>
      <c r="H37" s="4">
        <v>14</v>
      </c>
      <c r="I37" t="str">
        <f t="shared" si="0"/>
        <v>Symphurus plagusiaTongue Fish</v>
      </c>
    </row>
    <row r="38" spans="1:9" x14ac:dyDescent="0.35">
      <c r="A38">
        <v>4</v>
      </c>
      <c r="B38">
        <v>2015</v>
      </c>
      <c r="C38">
        <v>10</v>
      </c>
      <c r="D38" t="s">
        <v>176</v>
      </c>
      <c r="E38" t="s">
        <v>348</v>
      </c>
      <c r="F38" t="s">
        <v>6</v>
      </c>
      <c r="G38" t="s">
        <v>72</v>
      </c>
      <c r="H38" s="4">
        <v>12</v>
      </c>
      <c r="I38" t="str">
        <f t="shared" si="0"/>
        <v>Symphurus plagusiaTongue Fish</v>
      </c>
    </row>
    <row r="39" spans="1:9" x14ac:dyDescent="0.35">
      <c r="A39">
        <v>4</v>
      </c>
      <c r="B39">
        <v>2015</v>
      </c>
      <c r="C39">
        <v>10</v>
      </c>
      <c r="D39" t="s">
        <v>176</v>
      </c>
      <c r="E39" t="s">
        <v>348</v>
      </c>
      <c r="F39" t="s">
        <v>6</v>
      </c>
      <c r="G39" t="s">
        <v>72</v>
      </c>
      <c r="H39" s="4">
        <v>14</v>
      </c>
      <c r="I39" t="str">
        <f t="shared" si="0"/>
        <v>Symphurus plagusiaTongue Fish</v>
      </c>
    </row>
    <row r="40" spans="1:9" x14ac:dyDescent="0.35">
      <c r="A40">
        <v>4</v>
      </c>
      <c r="B40">
        <v>2015</v>
      </c>
      <c r="C40">
        <v>10</v>
      </c>
      <c r="D40" t="s">
        <v>176</v>
      </c>
      <c r="E40" t="s">
        <v>348</v>
      </c>
      <c r="F40" t="s">
        <v>85</v>
      </c>
      <c r="G40" t="s">
        <v>86</v>
      </c>
      <c r="H40" s="4">
        <v>16</v>
      </c>
      <c r="I40" t="str">
        <f t="shared" si="0"/>
        <v>Squilla mantisMantis Shrimp</v>
      </c>
    </row>
    <row r="41" spans="1:9" x14ac:dyDescent="0.35">
      <c r="A41">
        <v>4</v>
      </c>
      <c r="B41">
        <v>2015</v>
      </c>
      <c r="C41">
        <v>10</v>
      </c>
      <c r="D41" t="s">
        <v>176</v>
      </c>
      <c r="E41" t="s">
        <v>348</v>
      </c>
      <c r="F41" t="s">
        <v>85</v>
      </c>
      <c r="G41" t="s">
        <v>86</v>
      </c>
      <c r="H41" s="4">
        <v>15</v>
      </c>
      <c r="I41" t="str">
        <f t="shared" si="0"/>
        <v>Squilla mantisMantis Shrimp</v>
      </c>
    </row>
    <row r="42" spans="1:9" x14ac:dyDescent="0.35">
      <c r="A42">
        <v>4</v>
      </c>
      <c r="B42">
        <v>2015</v>
      </c>
      <c r="C42">
        <v>10</v>
      </c>
      <c r="D42" t="s">
        <v>176</v>
      </c>
      <c r="E42" t="s">
        <v>348</v>
      </c>
      <c r="F42" t="s">
        <v>85</v>
      </c>
      <c r="G42" t="s">
        <v>86</v>
      </c>
      <c r="H42" s="4">
        <v>16</v>
      </c>
      <c r="I42" t="str">
        <f t="shared" si="0"/>
        <v>Squilla mantisMantis Shrimp</v>
      </c>
    </row>
    <row r="43" spans="1:9" x14ac:dyDescent="0.35">
      <c r="A43">
        <v>4</v>
      </c>
      <c r="B43">
        <v>2015</v>
      </c>
      <c r="C43">
        <v>10</v>
      </c>
      <c r="D43" t="s">
        <v>176</v>
      </c>
      <c r="E43" t="s">
        <v>348</v>
      </c>
      <c r="F43" t="s">
        <v>85</v>
      </c>
      <c r="G43" t="s">
        <v>86</v>
      </c>
      <c r="H43" s="4">
        <v>10</v>
      </c>
      <c r="I43" t="str">
        <f t="shared" si="0"/>
        <v>Squilla mantisMantis Shrimp</v>
      </c>
    </row>
    <row r="44" spans="1:9" x14ac:dyDescent="0.35">
      <c r="A44">
        <v>4</v>
      </c>
      <c r="B44">
        <v>2015</v>
      </c>
      <c r="C44">
        <v>10</v>
      </c>
      <c r="D44" t="s">
        <v>176</v>
      </c>
      <c r="E44" t="s">
        <v>348</v>
      </c>
      <c r="F44" t="s">
        <v>85</v>
      </c>
      <c r="G44" t="s">
        <v>86</v>
      </c>
      <c r="H44" s="4">
        <v>17</v>
      </c>
      <c r="I44" t="str">
        <f t="shared" si="0"/>
        <v>Squilla mantisMantis Shrimp</v>
      </c>
    </row>
    <row r="45" spans="1:9" x14ac:dyDescent="0.35">
      <c r="A45">
        <v>4</v>
      </c>
      <c r="B45">
        <v>2015</v>
      </c>
      <c r="C45">
        <v>10</v>
      </c>
      <c r="D45" t="s">
        <v>176</v>
      </c>
      <c r="E45" t="s">
        <v>348</v>
      </c>
      <c r="F45" t="s">
        <v>85</v>
      </c>
      <c r="G45" t="s">
        <v>86</v>
      </c>
      <c r="H45" s="4">
        <v>15</v>
      </c>
      <c r="I45" t="str">
        <f t="shared" si="0"/>
        <v>Squilla mantisMantis Shrimp</v>
      </c>
    </row>
    <row r="46" spans="1:9" x14ac:dyDescent="0.35">
      <c r="A46">
        <v>4</v>
      </c>
      <c r="B46">
        <v>2015</v>
      </c>
      <c r="C46">
        <v>10</v>
      </c>
      <c r="D46" t="s">
        <v>176</v>
      </c>
      <c r="E46" t="s">
        <v>348</v>
      </c>
      <c r="F46" t="s">
        <v>85</v>
      </c>
      <c r="G46" t="s">
        <v>86</v>
      </c>
      <c r="H46" s="4">
        <v>12</v>
      </c>
      <c r="I46" t="str">
        <f t="shared" si="0"/>
        <v>Squilla mantisMantis Shrimp</v>
      </c>
    </row>
    <row r="47" spans="1:9" x14ac:dyDescent="0.35">
      <c r="A47">
        <v>4</v>
      </c>
      <c r="B47">
        <v>2015</v>
      </c>
      <c r="C47">
        <v>10</v>
      </c>
      <c r="D47" t="s">
        <v>176</v>
      </c>
      <c r="E47" t="s">
        <v>348</v>
      </c>
      <c r="F47" t="s">
        <v>85</v>
      </c>
      <c r="G47" t="s">
        <v>86</v>
      </c>
      <c r="H47" s="4">
        <v>10</v>
      </c>
      <c r="I47" t="str">
        <f t="shared" si="0"/>
        <v>Squilla mantisMantis Shrimp</v>
      </c>
    </row>
    <row r="48" spans="1:9" x14ac:dyDescent="0.35">
      <c r="A48">
        <v>4</v>
      </c>
      <c r="B48">
        <v>2015</v>
      </c>
      <c r="C48">
        <v>10</v>
      </c>
      <c r="D48" t="s">
        <v>176</v>
      </c>
      <c r="E48" t="s">
        <v>348</v>
      </c>
      <c r="F48" t="s">
        <v>85</v>
      </c>
      <c r="G48" t="s">
        <v>86</v>
      </c>
      <c r="H48" s="4">
        <v>9</v>
      </c>
      <c r="I48" t="str">
        <f t="shared" si="0"/>
        <v>Squilla mantisMantis Shrimp</v>
      </c>
    </row>
    <row r="49" spans="1:9" x14ac:dyDescent="0.35">
      <c r="A49">
        <v>4</v>
      </c>
      <c r="B49">
        <v>2015</v>
      </c>
      <c r="C49">
        <v>10</v>
      </c>
      <c r="D49" t="s">
        <v>176</v>
      </c>
      <c r="E49" t="s">
        <v>348</v>
      </c>
      <c r="F49" t="s">
        <v>85</v>
      </c>
      <c r="G49" t="s">
        <v>86</v>
      </c>
      <c r="H49" s="4">
        <v>11</v>
      </c>
      <c r="I49" t="str">
        <f t="shared" si="0"/>
        <v>Squilla mantisMantis Shrimp</v>
      </c>
    </row>
    <row r="50" spans="1:9" x14ac:dyDescent="0.35">
      <c r="A50">
        <v>4</v>
      </c>
      <c r="B50">
        <v>2015</v>
      </c>
      <c r="C50">
        <v>10</v>
      </c>
      <c r="D50" t="s">
        <v>176</v>
      </c>
      <c r="E50" t="s">
        <v>348</v>
      </c>
      <c r="F50" t="s">
        <v>116</v>
      </c>
      <c r="G50" t="s">
        <v>115</v>
      </c>
      <c r="H50" s="4">
        <v>9</v>
      </c>
      <c r="I50" t="str">
        <f t="shared" si="0"/>
        <v>Anchoa spiniferSpecule Anchovy</v>
      </c>
    </row>
    <row r="51" spans="1:9" x14ac:dyDescent="0.35">
      <c r="A51">
        <v>4</v>
      </c>
      <c r="B51">
        <v>2015</v>
      </c>
      <c r="C51">
        <v>10</v>
      </c>
      <c r="D51" t="s">
        <v>176</v>
      </c>
      <c r="E51" t="s">
        <v>348</v>
      </c>
      <c r="F51" t="s">
        <v>116</v>
      </c>
      <c r="G51" t="s">
        <v>115</v>
      </c>
      <c r="H51" s="4">
        <v>8</v>
      </c>
      <c r="I51" t="str">
        <f t="shared" si="0"/>
        <v>Anchoa spiniferSpecule Anchovy</v>
      </c>
    </row>
    <row r="52" spans="1:9" x14ac:dyDescent="0.35">
      <c r="A52">
        <v>4</v>
      </c>
      <c r="B52">
        <v>2015</v>
      </c>
      <c r="C52">
        <v>10</v>
      </c>
      <c r="D52" t="s">
        <v>176</v>
      </c>
      <c r="E52" t="s">
        <v>348</v>
      </c>
      <c r="F52" t="s">
        <v>116</v>
      </c>
      <c r="G52" t="s">
        <v>115</v>
      </c>
      <c r="H52" s="4">
        <v>11</v>
      </c>
      <c r="I52" t="str">
        <f t="shared" si="0"/>
        <v>Anchoa spiniferSpecule Anchovy</v>
      </c>
    </row>
    <row r="53" spans="1:9" x14ac:dyDescent="0.35">
      <c r="A53">
        <v>4</v>
      </c>
      <c r="B53">
        <v>2015</v>
      </c>
      <c r="C53">
        <v>10</v>
      </c>
      <c r="D53" t="s">
        <v>176</v>
      </c>
      <c r="E53" t="s">
        <v>348</v>
      </c>
      <c r="F53" t="s">
        <v>116</v>
      </c>
      <c r="G53" t="s">
        <v>115</v>
      </c>
      <c r="H53" s="4">
        <v>10</v>
      </c>
      <c r="I53" t="str">
        <f t="shared" si="0"/>
        <v>Anchoa spiniferSpecule Anchovy</v>
      </c>
    </row>
    <row r="54" spans="1:9" x14ac:dyDescent="0.35">
      <c r="A54">
        <v>4</v>
      </c>
      <c r="B54">
        <v>2015</v>
      </c>
      <c r="C54">
        <v>10</v>
      </c>
      <c r="D54" t="s">
        <v>176</v>
      </c>
      <c r="E54" t="s">
        <v>348</v>
      </c>
      <c r="F54" t="s">
        <v>116</v>
      </c>
      <c r="G54" t="s">
        <v>115</v>
      </c>
      <c r="H54" s="4">
        <v>7</v>
      </c>
      <c r="I54" t="str">
        <f t="shared" si="0"/>
        <v>Anchoa spiniferSpecule Anchovy</v>
      </c>
    </row>
    <row r="55" spans="1:9" x14ac:dyDescent="0.35">
      <c r="A55">
        <v>4</v>
      </c>
      <c r="B55">
        <v>2015</v>
      </c>
      <c r="C55">
        <v>10</v>
      </c>
      <c r="D55" t="s">
        <v>176</v>
      </c>
      <c r="E55" t="s">
        <v>348</v>
      </c>
      <c r="F55" t="s">
        <v>116</v>
      </c>
      <c r="G55" t="s">
        <v>115</v>
      </c>
      <c r="H55" s="4">
        <v>10</v>
      </c>
      <c r="I55" t="str">
        <f t="shared" si="0"/>
        <v>Anchoa spiniferSpecule Anchovy</v>
      </c>
    </row>
    <row r="56" spans="1:9" x14ac:dyDescent="0.35">
      <c r="A56">
        <v>4</v>
      </c>
      <c r="B56">
        <v>2015</v>
      </c>
      <c r="C56">
        <v>10</v>
      </c>
      <c r="D56" t="s">
        <v>176</v>
      </c>
      <c r="E56" t="s">
        <v>348</v>
      </c>
      <c r="F56" t="s">
        <v>116</v>
      </c>
      <c r="G56" t="s">
        <v>115</v>
      </c>
      <c r="H56" s="4">
        <v>10</v>
      </c>
      <c r="I56" t="str">
        <f t="shared" si="0"/>
        <v>Anchoa spiniferSpecule Anchovy</v>
      </c>
    </row>
    <row r="57" spans="1:9" x14ac:dyDescent="0.35">
      <c r="A57">
        <v>4</v>
      </c>
      <c r="B57">
        <v>2015</v>
      </c>
      <c r="C57">
        <v>10</v>
      </c>
      <c r="D57" t="s">
        <v>176</v>
      </c>
      <c r="E57" t="s">
        <v>348</v>
      </c>
      <c r="F57" t="s">
        <v>116</v>
      </c>
      <c r="G57" t="s">
        <v>115</v>
      </c>
      <c r="H57" s="4">
        <v>10</v>
      </c>
      <c r="I57" t="str">
        <f t="shared" si="0"/>
        <v>Anchoa spiniferSpecule Anchovy</v>
      </c>
    </row>
    <row r="58" spans="1:9" x14ac:dyDescent="0.35">
      <c r="A58">
        <v>4</v>
      </c>
      <c r="B58">
        <v>2015</v>
      </c>
      <c r="C58">
        <v>10</v>
      </c>
      <c r="D58" t="s">
        <v>176</v>
      </c>
      <c r="E58" t="s">
        <v>348</v>
      </c>
      <c r="F58" t="s">
        <v>116</v>
      </c>
      <c r="G58" t="s">
        <v>115</v>
      </c>
      <c r="H58" s="4">
        <v>10</v>
      </c>
      <c r="I58" t="str">
        <f t="shared" si="0"/>
        <v>Anchoa spiniferSpecule Anchovy</v>
      </c>
    </row>
    <row r="59" spans="1:9" x14ac:dyDescent="0.35">
      <c r="A59">
        <v>4</v>
      </c>
      <c r="B59">
        <v>2015</v>
      </c>
      <c r="C59">
        <v>10</v>
      </c>
      <c r="D59" t="s">
        <v>176</v>
      </c>
      <c r="E59" t="s">
        <v>348</v>
      </c>
      <c r="F59" t="s">
        <v>116</v>
      </c>
      <c r="G59" t="s">
        <v>115</v>
      </c>
      <c r="H59" s="4">
        <v>7</v>
      </c>
      <c r="I59" t="str">
        <f t="shared" si="0"/>
        <v>Anchoa spiniferSpecule Anchovy</v>
      </c>
    </row>
    <row r="60" spans="1:9" x14ac:dyDescent="0.35">
      <c r="A60">
        <v>4</v>
      </c>
      <c r="B60">
        <v>2015</v>
      </c>
      <c r="C60">
        <v>10</v>
      </c>
      <c r="D60" t="s">
        <v>176</v>
      </c>
      <c r="E60" t="s">
        <v>348</v>
      </c>
      <c r="F60" t="s">
        <v>63</v>
      </c>
      <c r="G60" t="s">
        <v>62</v>
      </c>
      <c r="H60" s="4">
        <v>8</v>
      </c>
      <c r="I60" t="str">
        <f t="shared" si="0"/>
        <v>Selene browniMoonfish</v>
      </c>
    </row>
    <row r="61" spans="1:9" x14ac:dyDescent="0.35">
      <c r="A61">
        <v>4</v>
      </c>
      <c r="B61">
        <v>2015</v>
      </c>
      <c r="C61">
        <v>10</v>
      </c>
      <c r="D61" t="s">
        <v>176</v>
      </c>
      <c r="E61" t="s">
        <v>348</v>
      </c>
      <c r="F61" t="s">
        <v>63</v>
      </c>
      <c r="G61" t="s">
        <v>62</v>
      </c>
      <c r="H61" s="4">
        <v>10</v>
      </c>
      <c r="I61" t="str">
        <f t="shared" si="0"/>
        <v>Selene browniMoonfish</v>
      </c>
    </row>
    <row r="62" spans="1:9" x14ac:dyDescent="0.35">
      <c r="A62">
        <v>4</v>
      </c>
      <c r="B62">
        <v>2015</v>
      </c>
      <c r="C62">
        <v>10</v>
      </c>
      <c r="D62" t="s">
        <v>176</v>
      </c>
      <c r="E62" t="s">
        <v>348</v>
      </c>
      <c r="F62" t="s">
        <v>63</v>
      </c>
      <c r="G62" t="s">
        <v>62</v>
      </c>
      <c r="H62" s="4">
        <v>8</v>
      </c>
      <c r="I62" t="str">
        <f t="shared" si="0"/>
        <v>Selene browniMoonfish</v>
      </c>
    </row>
    <row r="63" spans="1:9" x14ac:dyDescent="0.35">
      <c r="A63">
        <v>4</v>
      </c>
      <c r="B63">
        <v>2015</v>
      </c>
      <c r="C63">
        <v>10</v>
      </c>
      <c r="D63" t="s">
        <v>176</v>
      </c>
      <c r="E63" t="s">
        <v>348</v>
      </c>
      <c r="F63" t="s">
        <v>63</v>
      </c>
      <c r="G63" t="s">
        <v>62</v>
      </c>
      <c r="H63" s="4">
        <v>6</v>
      </c>
      <c r="I63" t="str">
        <f t="shared" si="0"/>
        <v>Selene browniMoonfish</v>
      </c>
    </row>
    <row r="64" spans="1:9" x14ac:dyDescent="0.35">
      <c r="A64">
        <v>4</v>
      </c>
      <c r="B64">
        <v>2015</v>
      </c>
      <c r="C64">
        <v>10</v>
      </c>
      <c r="D64" t="s">
        <v>176</v>
      </c>
      <c r="E64" t="s">
        <v>348</v>
      </c>
      <c r="F64" t="s">
        <v>63</v>
      </c>
      <c r="G64" t="s">
        <v>62</v>
      </c>
      <c r="H64" s="4">
        <v>8</v>
      </c>
      <c r="I64" t="str">
        <f t="shared" si="0"/>
        <v>Selene browniMoonfish</v>
      </c>
    </row>
    <row r="65" spans="1:9" x14ac:dyDescent="0.35">
      <c r="A65">
        <v>4</v>
      </c>
      <c r="B65">
        <v>2015</v>
      </c>
      <c r="C65">
        <v>10</v>
      </c>
      <c r="D65" t="s">
        <v>176</v>
      </c>
      <c r="E65" t="s">
        <v>348</v>
      </c>
      <c r="F65" t="s">
        <v>63</v>
      </c>
      <c r="G65" t="s">
        <v>62</v>
      </c>
      <c r="H65" s="4">
        <v>5</v>
      </c>
      <c r="I65" t="str">
        <f t="shared" si="0"/>
        <v>Selene browniMoonfish</v>
      </c>
    </row>
    <row r="66" spans="1:9" x14ac:dyDescent="0.35">
      <c r="A66">
        <v>4</v>
      </c>
      <c r="B66">
        <v>2015</v>
      </c>
      <c r="C66">
        <v>10</v>
      </c>
      <c r="D66" t="s">
        <v>176</v>
      </c>
      <c r="E66" t="s">
        <v>348</v>
      </c>
      <c r="F66" t="s">
        <v>63</v>
      </c>
      <c r="G66" t="s">
        <v>62</v>
      </c>
      <c r="H66" s="4">
        <v>7</v>
      </c>
      <c r="I66" t="str">
        <f t="shared" si="0"/>
        <v>Selene browniMoonfish</v>
      </c>
    </row>
    <row r="67" spans="1:9" x14ac:dyDescent="0.35">
      <c r="A67">
        <v>4</v>
      </c>
      <c r="B67">
        <v>2015</v>
      </c>
      <c r="C67">
        <v>10</v>
      </c>
      <c r="D67" t="s">
        <v>176</v>
      </c>
      <c r="E67" t="s">
        <v>348</v>
      </c>
      <c r="F67" t="s">
        <v>63</v>
      </c>
      <c r="G67" t="s">
        <v>62</v>
      </c>
      <c r="H67" s="4">
        <v>7</v>
      </c>
      <c r="I67" t="str">
        <f t="shared" ref="I67:I130" si="1">CONCATENATE(F67,G67)</f>
        <v>Selene browniMoonfish</v>
      </c>
    </row>
    <row r="68" spans="1:9" x14ac:dyDescent="0.35">
      <c r="A68">
        <v>4</v>
      </c>
      <c r="B68">
        <v>2015</v>
      </c>
      <c r="C68">
        <v>10</v>
      </c>
      <c r="D68" t="s">
        <v>176</v>
      </c>
      <c r="E68" t="s">
        <v>348</v>
      </c>
      <c r="F68" t="s">
        <v>63</v>
      </c>
      <c r="G68" t="s">
        <v>62</v>
      </c>
      <c r="H68" s="4">
        <v>4</v>
      </c>
      <c r="I68" t="str">
        <f t="shared" si="1"/>
        <v>Selene browniMoonfish</v>
      </c>
    </row>
    <row r="69" spans="1:9" x14ac:dyDescent="0.35">
      <c r="A69">
        <v>4</v>
      </c>
      <c r="B69">
        <v>2015</v>
      </c>
      <c r="C69">
        <v>10</v>
      </c>
      <c r="D69" t="s">
        <v>176</v>
      </c>
      <c r="E69" t="s">
        <v>348</v>
      </c>
      <c r="F69" t="s">
        <v>63</v>
      </c>
      <c r="G69" t="s">
        <v>62</v>
      </c>
      <c r="H69" s="4">
        <v>5</v>
      </c>
      <c r="I69" t="str">
        <f t="shared" si="1"/>
        <v>Selene browniMoonfish</v>
      </c>
    </row>
    <row r="70" spans="1:9" x14ac:dyDescent="0.35">
      <c r="A70">
        <v>4</v>
      </c>
      <c r="B70">
        <v>2015</v>
      </c>
      <c r="C70">
        <v>10</v>
      </c>
      <c r="D70" t="s">
        <v>176</v>
      </c>
      <c r="E70" t="s">
        <v>348</v>
      </c>
      <c r="F70" t="s">
        <v>121</v>
      </c>
      <c r="G70" t="s">
        <v>44</v>
      </c>
      <c r="H70" s="4">
        <v>11</v>
      </c>
      <c r="I70" t="str">
        <f t="shared" si="1"/>
        <v>Anchoa mitchilliNegli</v>
      </c>
    </row>
    <row r="71" spans="1:9" x14ac:dyDescent="0.35">
      <c r="A71">
        <v>4</v>
      </c>
      <c r="B71">
        <v>2015</v>
      </c>
      <c r="C71">
        <v>10</v>
      </c>
      <c r="D71" t="s">
        <v>176</v>
      </c>
      <c r="E71" t="s">
        <v>348</v>
      </c>
      <c r="F71" t="s">
        <v>121</v>
      </c>
      <c r="G71" t="s">
        <v>44</v>
      </c>
      <c r="H71" s="4">
        <v>14</v>
      </c>
      <c r="I71" t="str">
        <f t="shared" si="1"/>
        <v>Anchoa mitchilliNegli</v>
      </c>
    </row>
    <row r="72" spans="1:9" x14ac:dyDescent="0.35">
      <c r="A72">
        <v>4</v>
      </c>
      <c r="B72">
        <v>2015</v>
      </c>
      <c r="C72">
        <v>10</v>
      </c>
      <c r="D72" t="s">
        <v>176</v>
      </c>
      <c r="E72" t="s">
        <v>348</v>
      </c>
      <c r="F72" t="s">
        <v>121</v>
      </c>
      <c r="G72" t="s">
        <v>44</v>
      </c>
      <c r="H72" s="4">
        <v>12</v>
      </c>
      <c r="I72" t="str">
        <f t="shared" si="1"/>
        <v>Anchoa mitchilliNegli</v>
      </c>
    </row>
    <row r="73" spans="1:9" x14ac:dyDescent="0.35">
      <c r="A73">
        <v>4</v>
      </c>
      <c r="B73">
        <v>2015</v>
      </c>
      <c r="C73">
        <v>10</v>
      </c>
      <c r="D73" t="s">
        <v>176</v>
      </c>
      <c r="E73" t="s">
        <v>348</v>
      </c>
      <c r="F73" t="s">
        <v>121</v>
      </c>
      <c r="G73" t="s">
        <v>44</v>
      </c>
      <c r="H73" s="4">
        <v>12</v>
      </c>
      <c r="I73" t="str">
        <f t="shared" si="1"/>
        <v>Anchoa mitchilliNegli</v>
      </c>
    </row>
    <row r="74" spans="1:9" x14ac:dyDescent="0.35">
      <c r="A74">
        <v>4</v>
      </c>
      <c r="B74">
        <v>2015</v>
      </c>
      <c r="C74">
        <v>10</v>
      </c>
      <c r="D74" t="s">
        <v>176</v>
      </c>
      <c r="E74" t="s">
        <v>348</v>
      </c>
      <c r="F74" t="s">
        <v>121</v>
      </c>
      <c r="G74" t="s">
        <v>44</v>
      </c>
      <c r="H74" s="4">
        <v>11</v>
      </c>
      <c r="I74" t="str">
        <f t="shared" si="1"/>
        <v>Anchoa mitchilliNegli</v>
      </c>
    </row>
    <row r="75" spans="1:9" x14ac:dyDescent="0.35">
      <c r="A75">
        <v>4</v>
      </c>
      <c r="B75">
        <v>2015</v>
      </c>
      <c r="C75">
        <v>10</v>
      </c>
      <c r="D75" t="s">
        <v>176</v>
      </c>
      <c r="E75" t="s">
        <v>348</v>
      </c>
      <c r="F75" t="s">
        <v>121</v>
      </c>
      <c r="G75" t="s">
        <v>44</v>
      </c>
      <c r="H75" s="4">
        <v>11</v>
      </c>
      <c r="I75" t="str">
        <f t="shared" si="1"/>
        <v>Anchoa mitchilliNegli</v>
      </c>
    </row>
    <row r="76" spans="1:9" x14ac:dyDescent="0.35">
      <c r="A76">
        <v>4</v>
      </c>
      <c r="B76">
        <v>2015</v>
      </c>
      <c r="C76">
        <v>10</v>
      </c>
      <c r="D76" t="s">
        <v>176</v>
      </c>
      <c r="E76" t="s">
        <v>348</v>
      </c>
      <c r="F76" t="s">
        <v>121</v>
      </c>
      <c r="G76" t="s">
        <v>44</v>
      </c>
      <c r="H76" s="4">
        <v>8</v>
      </c>
      <c r="I76" t="str">
        <f t="shared" si="1"/>
        <v>Anchoa mitchilliNegli</v>
      </c>
    </row>
    <row r="77" spans="1:9" x14ac:dyDescent="0.35">
      <c r="A77">
        <v>4</v>
      </c>
      <c r="B77">
        <v>2015</v>
      </c>
      <c r="C77">
        <v>10</v>
      </c>
      <c r="D77" t="s">
        <v>176</v>
      </c>
      <c r="E77" t="s">
        <v>348</v>
      </c>
      <c r="F77" t="s">
        <v>121</v>
      </c>
      <c r="G77" t="s">
        <v>44</v>
      </c>
      <c r="H77" s="4">
        <v>10</v>
      </c>
      <c r="I77" t="str">
        <f t="shared" si="1"/>
        <v>Anchoa mitchilliNegli</v>
      </c>
    </row>
    <row r="78" spans="1:9" x14ac:dyDescent="0.35">
      <c r="A78">
        <v>4</v>
      </c>
      <c r="B78">
        <v>2015</v>
      </c>
      <c r="C78">
        <v>10</v>
      </c>
      <c r="D78" t="s">
        <v>176</v>
      </c>
      <c r="E78" t="s">
        <v>348</v>
      </c>
      <c r="F78" t="s">
        <v>121</v>
      </c>
      <c r="G78" t="s">
        <v>44</v>
      </c>
      <c r="H78" s="4">
        <v>12</v>
      </c>
      <c r="I78" t="str">
        <f t="shared" si="1"/>
        <v>Anchoa mitchilliNegli</v>
      </c>
    </row>
    <row r="79" spans="1:9" x14ac:dyDescent="0.35">
      <c r="A79">
        <v>4</v>
      </c>
      <c r="B79">
        <v>2015</v>
      </c>
      <c r="C79">
        <v>10</v>
      </c>
      <c r="D79" t="s">
        <v>176</v>
      </c>
      <c r="E79" t="s">
        <v>348</v>
      </c>
      <c r="F79" t="s">
        <v>121</v>
      </c>
      <c r="G79" t="s">
        <v>44</v>
      </c>
      <c r="H79" s="4">
        <v>8</v>
      </c>
      <c r="I79" t="str">
        <f t="shared" si="1"/>
        <v>Anchoa mitchilliNegli</v>
      </c>
    </row>
    <row r="80" spans="1:9" x14ac:dyDescent="0.35">
      <c r="A80">
        <v>4</v>
      </c>
      <c r="B80">
        <v>2015</v>
      </c>
      <c r="C80">
        <v>10</v>
      </c>
      <c r="D80" t="s">
        <v>176</v>
      </c>
      <c r="E80" t="s">
        <v>348</v>
      </c>
      <c r="F80" t="s">
        <v>283</v>
      </c>
      <c r="G80" t="s">
        <v>284</v>
      </c>
      <c r="H80" s="4">
        <v>10</v>
      </c>
      <c r="I80" t="str">
        <f t="shared" si="1"/>
        <v>Paralonchurus braziliensisBanded croaker</v>
      </c>
    </row>
    <row r="81" spans="1:9" x14ac:dyDescent="0.35">
      <c r="A81">
        <v>4</v>
      </c>
      <c r="B81">
        <v>2015</v>
      </c>
      <c r="C81">
        <v>10</v>
      </c>
      <c r="D81" t="s">
        <v>176</v>
      </c>
      <c r="E81" t="s">
        <v>348</v>
      </c>
      <c r="F81" t="s">
        <v>283</v>
      </c>
      <c r="G81" t="s">
        <v>284</v>
      </c>
      <c r="H81" s="4">
        <v>14</v>
      </c>
      <c r="I81" t="str">
        <f t="shared" si="1"/>
        <v>Paralonchurus braziliensisBanded croaker</v>
      </c>
    </row>
    <row r="82" spans="1:9" x14ac:dyDescent="0.35">
      <c r="A82">
        <v>4</v>
      </c>
      <c r="B82">
        <v>2015</v>
      </c>
      <c r="C82">
        <v>10</v>
      </c>
      <c r="D82" t="s">
        <v>176</v>
      </c>
      <c r="E82" t="s">
        <v>348</v>
      </c>
      <c r="F82" t="s">
        <v>283</v>
      </c>
      <c r="G82" t="s">
        <v>284</v>
      </c>
      <c r="H82" s="4">
        <v>13</v>
      </c>
      <c r="I82" t="str">
        <f t="shared" si="1"/>
        <v>Paralonchurus braziliensisBanded croaker</v>
      </c>
    </row>
    <row r="83" spans="1:9" x14ac:dyDescent="0.35">
      <c r="A83">
        <v>4</v>
      </c>
      <c r="B83">
        <v>2015</v>
      </c>
      <c r="C83">
        <v>10</v>
      </c>
      <c r="D83" t="s">
        <v>176</v>
      </c>
      <c r="E83" t="s">
        <v>348</v>
      </c>
      <c r="F83" t="s">
        <v>283</v>
      </c>
      <c r="G83" t="s">
        <v>284</v>
      </c>
      <c r="H83" s="4">
        <v>12</v>
      </c>
      <c r="I83" t="str">
        <f t="shared" si="1"/>
        <v>Paralonchurus braziliensisBanded croaker</v>
      </c>
    </row>
    <row r="84" spans="1:9" x14ac:dyDescent="0.35">
      <c r="A84">
        <v>4</v>
      </c>
      <c r="B84">
        <v>2015</v>
      </c>
      <c r="C84">
        <v>10</v>
      </c>
      <c r="D84" t="s">
        <v>176</v>
      </c>
      <c r="E84" t="s">
        <v>348</v>
      </c>
      <c r="F84" t="s">
        <v>283</v>
      </c>
      <c r="G84" t="s">
        <v>284</v>
      </c>
      <c r="H84" s="4">
        <v>10</v>
      </c>
      <c r="I84" t="str">
        <f t="shared" si="1"/>
        <v>Paralonchurus braziliensisBanded croaker</v>
      </c>
    </row>
    <row r="85" spans="1:9" x14ac:dyDescent="0.35">
      <c r="A85">
        <v>4</v>
      </c>
      <c r="B85">
        <v>2015</v>
      </c>
      <c r="C85">
        <v>10</v>
      </c>
      <c r="D85" t="s">
        <v>176</v>
      </c>
      <c r="E85" t="s">
        <v>348</v>
      </c>
      <c r="F85" t="s">
        <v>283</v>
      </c>
      <c r="G85" t="s">
        <v>284</v>
      </c>
      <c r="H85" s="4">
        <v>10</v>
      </c>
      <c r="I85" t="str">
        <f t="shared" si="1"/>
        <v>Paralonchurus braziliensisBanded croaker</v>
      </c>
    </row>
    <row r="86" spans="1:9" x14ac:dyDescent="0.35">
      <c r="A86">
        <v>4</v>
      </c>
      <c r="B86">
        <v>2015</v>
      </c>
      <c r="C86">
        <v>10</v>
      </c>
      <c r="D86" t="s">
        <v>176</v>
      </c>
      <c r="E86" t="s">
        <v>348</v>
      </c>
      <c r="F86" t="s">
        <v>283</v>
      </c>
      <c r="G86" t="s">
        <v>284</v>
      </c>
      <c r="H86" s="4">
        <v>11</v>
      </c>
      <c r="I86" t="str">
        <f t="shared" si="1"/>
        <v>Paralonchurus braziliensisBanded croaker</v>
      </c>
    </row>
    <row r="87" spans="1:9" x14ac:dyDescent="0.35">
      <c r="A87">
        <v>4</v>
      </c>
      <c r="B87">
        <v>2015</v>
      </c>
      <c r="C87">
        <v>10</v>
      </c>
      <c r="D87" t="s">
        <v>176</v>
      </c>
      <c r="E87" t="s">
        <v>348</v>
      </c>
      <c r="F87" t="s">
        <v>283</v>
      </c>
      <c r="G87" t="s">
        <v>284</v>
      </c>
      <c r="H87" s="4">
        <v>12</v>
      </c>
      <c r="I87" t="str">
        <f t="shared" si="1"/>
        <v>Paralonchurus braziliensisBanded croaker</v>
      </c>
    </row>
    <row r="88" spans="1:9" x14ac:dyDescent="0.35">
      <c r="A88">
        <v>4</v>
      </c>
      <c r="B88">
        <v>2015</v>
      </c>
      <c r="C88">
        <v>10</v>
      </c>
      <c r="D88" t="s">
        <v>176</v>
      </c>
      <c r="E88" t="s">
        <v>348</v>
      </c>
      <c r="F88" t="s">
        <v>283</v>
      </c>
      <c r="G88" t="s">
        <v>284</v>
      </c>
      <c r="H88" s="4">
        <v>10</v>
      </c>
      <c r="I88" t="str">
        <f t="shared" si="1"/>
        <v>Paralonchurus braziliensisBanded croaker</v>
      </c>
    </row>
    <row r="89" spans="1:9" x14ac:dyDescent="0.35">
      <c r="A89">
        <v>4</v>
      </c>
      <c r="B89">
        <v>2015</v>
      </c>
      <c r="C89">
        <v>10</v>
      </c>
      <c r="D89" t="s">
        <v>176</v>
      </c>
      <c r="E89" t="s">
        <v>348</v>
      </c>
      <c r="F89" t="s">
        <v>283</v>
      </c>
      <c r="G89" t="s">
        <v>284</v>
      </c>
      <c r="H89" s="4">
        <v>10</v>
      </c>
      <c r="I89" t="str">
        <f t="shared" si="1"/>
        <v>Paralonchurus braziliensisBanded croaker</v>
      </c>
    </row>
    <row r="90" spans="1:9" x14ac:dyDescent="0.35">
      <c r="A90">
        <v>4</v>
      </c>
      <c r="B90">
        <v>2015</v>
      </c>
      <c r="C90">
        <v>10</v>
      </c>
      <c r="D90" t="s">
        <v>176</v>
      </c>
      <c r="E90" t="s">
        <v>348</v>
      </c>
      <c r="F90" t="s">
        <v>49</v>
      </c>
      <c r="G90" t="s">
        <v>354</v>
      </c>
      <c r="H90" s="4">
        <v>15</v>
      </c>
      <c r="I90" t="str">
        <f t="shared" si="1"/>
        <v>Polydactylus virginicusBeard fish</v>
      </c>
    </row>
    <row r="91" spans="1:9" x14ac:dyDescent="0.35">
      <c r="A91">
        <v>4</v>
      </c>
      <c r="B91">
        <v>2015</v>
      </c>
      <c r="C91">
        <v>10</v>
      </c>
      <c r="D91" t="s">
        <v>176</v>
      </c>
      <c r="E91" t="s">
        <v>348</v>
      </c>
      <c r="F91" t="s">
        <v>49</v>
      </c>
      <c r="G91" t="s">
        <v>354</v>
      </c>
      <c r="H91" s="4">
        <v>17</v>
      </c>
      <c r="I91" t="str">
        <f t="shared" si="1"/>
        <v>Polydactylus virginicusBeard fish</v>
      </c>
    </row>
    <row r="92" spans="1:9" x14ac:dyDescent="0.35">
      <c r="A92">
        <v>4</v>
      </c>
      <c r="B92">
        <v>2015</v>
      </c>
      <c r="C92">
        <v>10</v>
      </c>
      <c r="D92" t="s">
        <v>176</v>
      </c>
      <c r="E92" t="s">
        <v>348</v>
      </c>
      <c r="F92" t="s">
        <v>49</v>
      </c>
      <c r="G92" t="s">
        <v>354</v>
      </c>
      <c r="H92" s="4">
        <v>12</v>
      </c>
      <c r="I92" t="str">
        <f t="shared" si="1"/>
        <v>Polydactylus virginicusBeard fish</v>
      </c>
    </row>
    <row r="93" spans="1:9" x14ac:dyDescent="0.35">
      <c r="A93">
        <v>4</v>
      </c>
      <c r="B93">
        <v>2015</v>
      </c>
      <c r="C93">
        <v>10</v>
      </c>
      <c r="D93" t="s">
        <v>176</v>
      </c>
      <c r="E93" t="s">
        <v>348</v>
      </c>
      <c r="F93" t="s">
        <v>21</v>
      </c>
      <c r="G93" t="s">
        <v>59</v>
      </c>
      <c r="H93" s="4">
        <v>18</v>
      </c>
      <c r="I93" t="str">
        <f t="shared" si="1"/>
        <v>Stellifer micropsRockhead</v>
      </c>
    </row>
    <row r="94" spans="1:9" x14ac:dyDescent="0.35">
      <c r="A94">
        <v>4</v>
      </c>
      <c r="B94">
        <v>2015</v>
      </c>
      <c r="C94">
        <v>10</v>
      </c>
      <c r="D94" t="s">
        <v>176</v>
      </c>
      <c r="E94" t="s">
        <v>348</v>
      </c>
      <c r="F94" t="s">
        <v>21</v>
      </c>
      <c r="G94" t="s">
        <v>59</v>
      </c>
      <c r="H94" s="4">
        <v>12</v>
      </c>
      <c r="I94" t="str">
        <f t="shared" si="1"/>
        <v>Stellifer micropsRockhead</v>
      </c>
    </row>
    <row r="95" spans="1:9" x14ac:dyDescent="0.35">
      <c r="A95">
        <v>4</v>
      </c>
      <c r="B95">
        <v>2015</v>
      </c>
      <c r="C95">
        <v>10</v>
      </c>
      <c r="D95" t="s">
        <v>176</v>
      </c>
      <c r="E95" t="s">
        <v>348</v>
      </c>
      <c r="F95" t="s">
        <v>21</v>
      </c>
      <c r="G95" t="s">
        <v>59</v>
      </c>
      <c r="H95" s="4">
        <v>12</v>
      </c>
      <c r="I95" t="str">
        <f t="shared" si="1"/>
        <v>Stellifer micropsRockhead</v>
      </c>
    </row>
    <row r="96" spans="1:9" x14ac:dyDescent="0.35">
      <c r="A96">
        <v>4</v>
      </c>
      <c r="B96">
        <v>2015</v>
      </c>
      <c r="C96">
        <v>10</v>
      </c>
      <c r="D96" t="s">
        <v>176</v>
      </c>
      <c r="E96" t="s">
        <v>348</v>
      </c>
      <c r="F96" t="s">
        <v>21</v>
      </c>
      <c r="G96" t="s">
        <v>59</v>
      </c>
      <c r="H96" s="4">
        <v>12</v>
      </c>
      <c r="I96" t="str">
        <f t="shared" si="1"/>
        <v>Stellifer micropsRockhead</v>
      </c>
    </row>
    <row r="97" spans="1:9" x14ac:dyDescent="0.35">
      <c r="A97">
        <v>4</v>
      </c>
      <c r="B97">
        <v>2015</v>
      </c>
      <c r="C97">
        <v>10</v>
      </c>
      <c r="D97" t="s">
        <v>176</v>
      </c>
      <c r="E97" t="s">
        <v>348</v>
      </c>
      <c r="F97" t="s">
        <v>21</v>
      </c>
      <c r="G97" t="s">
        <v>59</v>
      </c>
      <c r="H97" s="4">
        <v>15</v>
      </c>
      <c r="I97" t="str">
        <f t="shared" si="1"/>
        <v>Stellifer micropsRockhead</v>
      </c>
    </row>
    <row r="98" spans="1:9" x14ac:dyDescent="0.35">
      <c r="A98">
        <v>4</v>
      </c>
      <c r="B98">
        <v>2015</v>
      </c>
      <c r="C98">
        <v>10</v>
      </c>
      <c r="D98" t="s">
        <v>176</v>
      </c>
      <c r="E98" t="s">
        <v>348</v>
      </c>
      <c r="F98" t="s">
        <v>21</v>
      </c>
      <c r="G98" t="s">
        <v>59</v>
      </c>
      <c r="H98" s="4">
        <v>12</v>
      </c>
      <c r="I98" t="str">
        <f t="shared" si="1"/>
        <v>Stellifer micropsRockhead</v>
      </c>
    </row>
    <row r="99" spans="1:9" x14ac:dyDescent="0.35">
      <c r="A99">
        <v>4</v>
      </c>
      <c r="B99">
        <v>2015</v>
      </c>
      <c r="C99">
        <v>10</v>
      </c>
      <c r="D99" t="s">
        <v>176</v>
      </c>
      <c r="E99" t="s">
        <v>348</v>
      </c>
      <c r="F99" t="s">
        <v>21</v>
      </c>
      <c r="G99" t="s">
        <v>59</v>
      </c>
      <c r="H99" s="4">
        <v>11</v>
      </c>
      <c r="I99" t="str">
        <f t="shared" si="1"/>
        <v>Stellifer micropsRockhead</v>
      </c>
    </row>
    <row r="100" spans="1:9" x14ac:dyDescent="0.35">
      <c r="A100">
        <v>4</v>
      </c>
      <c r="B100">
        <v>2015</v>
      </c>
      <c r="C100">
        <v>10</v>
      </c>
      <c r="D100" t="s">
        <v>176</v>
      </c>
      <c r="E100" t="s">
        <v>348</v>
      </c>
      <c r="F100" t="s">
        <v>21</v>
      </c>
      <c r="G100" t="s">
        <v>59</v>
      </c>
      <c r="H100" s="4">
        <v>12</v>
      </c>
      <c r="I100" t="str">
        <f t="shared" si="1"/>
        <v>Stellifer micropsRockhead</v>
      </c>
    </row>
    <row r="101" spans="1:9" x14ac:dyDescent="0.35">
      <c r="A101">
        <v>4</v>
      </c>
      <c r="B101">
        <v>2015</v>
      </c>
      <c r="C101">
        <v>10</v>
      </c>
      <c r="D101" t="s">
        <v>176</v>
      </c>
      <c r="E101" t="s">
        <v>348</v>
      </c>
      <c r="F101" t="s">
        <v>21</v>
      </c>
      <c r="G101" t="s">
        <v>59</v>
      </c>
      <c r="H101" s="4">
        <v>10</v>
      </c>
      <c r="I101" t="str">
        <f t="shared" si="1"/>
        <v>Stellifer micropsRockhead</v>
      </c>
    </row>
    <row r="102" spans="1:9" x14ac:dyDescent="0.35">
      <c r="A102">
        <v>4</v>
      </c>
      <c r="B102">
        <v>2015</v>
      </c>
      <c r="C102">
        <v>10</v>
      </c>
      <c r="D102" t="s">
        <v>176</v>
      </c>
      <c r="E102" t="s">
        <v>348</v>
      </c>
      <c r="F102" t="s">
        <v>21</v>
      </c>
      <c r="G102" t="s">
        <v>59</v>
      </c>
      <c r="H102" s="4">
        <v>9</v>
      </c>
      <c r="I102" t="str">
        <f t="shared" si="1"/>
        <v>Stellifer micropsRockhead</v>
      </c>
    </row>
    <row r="103" spans="1:9" x14ac:dyDescent="0.35">
      <c r="A103">
        <v>4</v>
      </c>
      <c r="B103">
        <v>2015</v>
      </c>
      <c r="C103">
        <v>10</v>
      </c>
      <c r="D103" t="s">
        <v>176</v>
      </c>
      <c r="E103" t="s">
        <v>348</v>
      </c>
      <c r="F103" t="s">
        <v>17</v>
      </c>
      <c r="G103" t="s">
        <v>34</v>
      </c>
      <c r="H103" s="4">
        <v>12</v>
      </c>
      <c r="I103" t="str">
        <f t="shared" si="1"/>
        <v>Larimus brevicepsSilver Snapper</v>
      </c>
    </row>
    <row r="104" spans="1:9" x14ac:dyDescent="0.35">
      <c r="A104">
        <v>4</v>
      </c>
      <c r="B104">
        <v>2015</v>
      </c>
      <c r="C104">
        <v>10</v>
      </c>
      <c r="D104" t="s">
        <v>176</v>
      </c>
      <c r="E104" t="s">
        <v>348</v>
      </c>
      <c r="F104" t="s">
        <v>17</v>
      </c>
      <c r="G104" t="s">
        <v>34</v>
      </c>
      <c r="H104" s="4">
        <v>14</v>
      </c>
      <c r="I104" t="str">
        <f t="shared" si="1"/>
        <v>Larimus brevicepsSilver Snapper</v>
      </c>
    </row>
    <row r="105" spans="1:9" x14ac:dyDescent="0.35">
      <c r="A105">
        <v>4</v>
      </c>
      <c r="B105">
        <v>2015</v>
      </c>
      <c r="C105">
        <v>10</v>
      </c>
      <c r="D105" t="s">
        <v>176</v>
      </c>
      <c r="E105" t="s">
        <v>348</v>
      </c>
      <c r="F105" t="s">
        <v>17</v>
      </c>
      <c r="G105" t="s">
        <v>34</v>
      </c>
      <c r="H105" s="4">
        <v>15</v>
      </c>
      <c r="I105" t="str">
        <f t="shared" si="1"/>
        <v>Larimus brevicepsSilver Snapper</v>
      </c>
    </row>
    <row r="106" spans="1:9" x14ac:dyDescent="0.35">
      <c r="A106">
        <v>4</v>
      </c>
      <c r="B106">
        <v>2015</v>
      </c>
      <c r="C106">
        <v>10</v>
      </c>
      <c r="D106" t="s">
        <v>176</v>
      </c>
      <c r="E106" t="s">
        <v>348</v>
      </c>
      <c r="F106" t="s">
        <v>17</v>
      </c>
      <c r="G106" t="s">
        <v>34</v>
      </c>
      <c r="H106" s="4">
        <v>14</v>
      </c>
      <c r="I106" t="str">
        <f t="shared" si="1"/>
        <v>Larimus brevicepsSilver Snapper</v>
      </c>
    </row>
    <row r="107" spans="1:9" x14ac:dyDescent="0.35">
      <c r="A107">
        <v>4</v>
      </c>
      <c r="B107">
        <v>2015</v>
      </c>
      <c r="C107">
        <v>10</v>
      </c>
      <c r="D107" t="s">
        <v>176</v>
      </c>
      <c r="E107" t="s">
        <v>348</v>
      </c>
      <c r="F107" t="s">
        <v>17</v>
      </c>
      <c r="G107" t="s">
        <v>34</v>
      </c>
      <c r="H107" s="4">
        <v>11</v>
      </c>
      <c r="I107" t="str">
        <f t="shared" si="1"/>
        <v>Larimus brevicepsSilver Snapper</v>
      </c>
    </row>
    <row r="108" spans="1:9" x14ac:dyDescent="0.35">
      <c r="A108">
        <v>4</v>
      </c>
      <c r="B108">
        <v>2015</v>
      </c>
      <c r="C108">
        <v>10</v>
      </c>
      <c r="D108" t="s">
        <v>176</v>
      </c>
      <c r="E108" t="s">
        <v>348</v>
      </c>
      <c r="F108" t="s">
        <v>17</v>
      </c>
      <c r="G108" t="s">
        <v>34</v>
      </c>
      <c r="H108" s="4">
        <v>13</v>
      </c>
      <c r="I108" t="str">
        <f t="shared" si="1"/>
        <v>Larimus brevicepsSilver Snapper</v>
      </c>
    </row>
    <row r="109" spans="1:9" x14ac:dyDescent="0.35">
      <c r="A109">
        <v>4</v>
      </c>
      <c r="B109">
        <v>2015</v>
      </c>
      <c r="C109">
        <v>10</v>
      </c>
      <c r="D109" t="s">
        <v>176</v>
      </c>
      <c r="E109" t="s">
        <v>348</v>
      </c>
      <c r="F109" t="s">
        <v>17</v>
      </c>
      <c r="G109" t="s">
        <v>34</v>
      </c>
      <c r="H109" s="4">
        <v>10</v>
      </c>
      <c r="I109" t="str">
        <f t="shared" si="1"/>
        <v>Larimus brevicepsSilver Snapper</v>
      </c>
    </row>
    <row r="110" spans="1:9" x14ac:dyDescent="0.35">
      <c r="A110">
        <v>4</v>
      </c>
      <c r="B110">
        <v>2015</v>
      </c>
      <c r="C110">
        <v>10</v>
      </c>
      <c r="D110" t="s">
        <v>176</v>
      </c>
      <c r="E110" t="s">
        <v>348</v>
      </c>
      <c r="F110" t="s">
        <v>17</v>
      </c>
      <c r="G110" t="s">
        <v>34</v>
      </c>
      <c r="H110" s="4">
        <v>12</v>
      </c>
      <c r="I110" t="str">
        <f t="shared" si="1"/>
        <v>Larimus brevicepsSilver Snapper</v>
      </c>
    </row>
    <row r="111" spans="1:9" x14ac:dyDescent="0.35">
      <c r="A111">
        <v>4</v>
      </c>
      <c r="B111">
        <v>2015</v>
      </c>
      <c r="C111">
        <v>10</v>
      </c>
      <c r="D111" t="s">
        <v>176</v>
      </c>
      <c r="E111" t="s">
        <v>348</v>
      </c>
      <c r="F111" t="s">
        <v>17</v>
      </c>
      <c r="G111" t="s">
        <v>34</v>
      </c>
      <c r="H111" s="4">
        <v>12</v>
      </c>
      <c r="I111" t="str">
        <f t="shared" si="1"/>
        <v>Larimus brevicepsSilver Snapper</v>
      </c>
    </row>
    <row r="112" spans="1:9" x14ac:dyDescent="0.35">
      <c r="A112">
        <v>4</v>
      </c>
      <c r="B112">
        <v>2015</v>
      </c>
      <c r="C112">
        <v>10</v>
      </c>
      <c r="D112" t="s">
        <v>176</v>
      </c>
      <c r="E112" t="s">
        <v>348</v>
      </c>
      <c r="F112" t="s">
        <v>17</v>
      </c>
      <c r="G112" t="s">
        <v>34</v>
      </c>
      <c r="H112" s="4">
        <v>10</v>
      </c>
      <c r="I112" t="str">
        <f t="shared" si="1"/>
        <v>Larimus brevicepsSilver Snapper</v>
      </c>
    </row>
    <row r="113" spans="1:9" x14ac:dyDescent="0.35">
      <c r="A113">
        <v>4</v>
      </c>
      <c r="B113">
        <v>2015</v>
      </c>
      <c r="C113">
        <v>10</v>
      </c>
      <c r="D113" t="s">
        <v>176</v>
      </c>
      <c r="E113" t="s">
        <v>348</v>
      </c>
      <c r="F113" t="s">
        <v>40</v>
      </c>
      <c r="G113" t="s">
        <v>35</v>
      </c>
      <c r="H113" s="4">
        <v>23</v>
      </c>
      <c r="I113" t="str">
        <f t="shared" si="1"/>
        <v>Macrodon ancylodonBangamary</v>
      </c>
    </row>
    <row r="114" spans="1:9" x14ac:dyDescent="0.35">
      <c r="A114">
        <v>4</v>
      </c>
      <c r="B114">
        <v>2015</v>
      </c>
      <c r="C114">
        <v>10</v>
      </c>
      <c r="D114" t="s">
        <v>176</v>
      </c>
      <c r="E114" t="s">
        <v>348</v>
      </c>
      <c r="F114" t="s">
        <v>40</v>
      </c>
      <c r="G114" t="s">
        <v>35</v>
      </c>
      <c r="H114" s="4">
        <v>26</v>
      </c>
      <c r="I114" t="str">
        <f t="shared" si="1"/>
        <v>Macrodon ancylodonBangamary</v>
      </c>
    </row>
    <row r="115" spans="1:9" x14ac:dyDescent="0.35">
      <c r="A115">
        <v>4</v>
      </c>
      <c r="B115">
        <v>2015</v>
      </c>
      <c r="C115">
        <v>10</v>
      </c>
      <c r="D115" t="s">
        <v>176</v>
      </c>
      <c r="E115" t="s">
        <v>348</v>
      </c>
      <c r="F115" t="s">
        <v>40</v>
      </c>
      <c r="G115" t="s">
        <v>35</v>
      </c>
      <c r="H115" s="4">
        <v>21</v>
      </c>
      <c r="I115" t="str">
        <f t="shared" si="1"/>
        <v>Macrodon ancylodonBangamary</v>
      </c>
    </row>
    <row r="116" spans="1:9" x14ac:dyDescent="0.35">
      <c r="A116">
        <v>4</v>
      </c>
      <c r="B116">
        <v>2015</v>
      </c>
      <c r="C116">
        <v>10</v>
      </c>
      <c r="D116" t="s">
        <v>176</v>
      </c>
      <c r="E116" t="s">
        <v>348</v>
      </c>
      <c r="F116" t="s">
        <v>40</v>
      </c>
      <c r="G116" t="s">
        <v>35</v>
      </c>
      <c r="H116" s="4">
        <v>22</v>
      </c>
      <c r="I116" t="str">
        <f t="shared" si="1"/>
        <v>Macrodon ancylodonBangamary</v>
      </c>
    </row>
    <row r="117" spans="1:9" x14ac:dyDescent="0.35">
      <c r="A117">
        <v>4</v>
      </c>
      <c r="B117">
        <v>2015</v>
      </c>
      <c r="C117">
        <v>10</v>
      </c>
      <c r="D117" t="s">
        <v>176</v>
      </c>
      <c r="E117" t="s">
        <v>348</v>
      </c>
      <c r="F117" t="s">
        <v>40</v>
      </c>
      <c r="G117" t="s">
        <v>35</v>
      </c>
      <c r="H117" s="4">
        <v>28</v>
      </c>
      <c r="I117" t="str">
        <f t="shared" si="1"/>
        <v>Macrodon ancylodonBangamary</v>
      </c>
    </row>
    <row r="118" spans="1:9" x14ac:dyDescent="0.35">
      <c r="A118">
        <v>4</v>
      </c>
      <c r="B118">
        <v>2015</v>
      </c>
      <c r="C118">
        <v>10</v>
      </c>
      <c r="D118" t="s">
        <v>176</v>
      </c>
      <c r="E118" t="s">
        <v>348</v>
      </c>
      <c r="F118" t="s">
        <v>40</v>
      </c>
      <c r="G118" t="s">
        <v>35</v>
      </c>
      <c r="H118" s="4">
        <v>11</v>
      </c>
      <c r="I118" t="str">
        <f t="shared" si="1"/>
        <v>Macrodon ancylodonBangamary</v>
      </c>
    </row>
    <row r="119" spans="1:9" x14ac:dyDescent="0.35">
      <c r="A119">
        <v>4</v>
      </c>
      <c r="B119">
        <v>2015</v>
      </c>
      <c r="C119">
        <v>10</v>
      </c>
      <c r="D119" t="s">
        <v>176</v>
      </c>
      <c r="E119" t="s">
        <v>348</v>
      </c>
      <c r="F119" t="s">
        <v>40</v>
      </c>
      <c r="G119" t="s">
        <v>35</v>
      </c>
      <c r="H119" s="4">
        <v>10</v>
      </c>
      <c r="I119" t="str">
        <f t="shared" si="1"/>
        <v>Macrodon ancylodonBangamary</v>
      </c>
    </row>
    <row r="120" spans="1:9" x14ac:dyDescent="0.35">
      <c r="A120">
        <v>4</v>
      </c>
      <c r="B120">
        <v>2015</v>
      </c>
      <c r="C120">
        <v>10</v>
      </c>
      <c r="D120" t="s">
        <v>176</v>
      </c>
      <c r="E120" t="s">
        <v>348</v>
      </c>
      <c r="F120" t="s">
        <v>40</v>
      </c>
      <c r="G120" t="s">
        <v>35</v>
      </c>
      <c r="H120" s="4">
        <v>12</v>
      </c>
      <c r="I120" t="str">
        <f t="shared" si="1"/>
        <v>Macrodon ancylodonBangamary</v>
      </c>
    </row>
    <row r="121" spans="1:9" x14ac:dyDescent="0.35">
      <c r="A121">
        <v>4</v>
      </c>
      <c r="B121">
        <v>2015</v>
      </c>
      <c r="C121">
        <v>10</v>
      </c>
      <c r="D121" t="s">
        <v>176</v>
      </c>
      <c r="E121" t="s">
        <v>348</v>
      </c>
      <c r="F121" t="s">
        <v>40</v>
      </c>
      <c r="G121" t="s">
        <v>35</v>
      </c>
      <c r="H121" s="4">
        <v>8</v>
      </c>
      <c r="I121" t="str">
        <f t="shared" si="1"/>
        <v>Macrodon ancylodonBangamary</v>
      </c>
    </row>
    <row r="122" spans="1:9" x14ac:dyDescent="0.35">
      <c r="A122">
        <v>4</v>
      </c>
      <c r="B122">
        <v>2015</v>
      </c>
      <c r="C122">
        <v>10</v>
      </c>
      <c r="D122" t="s">
        <v>176</v>
      </c>
      <c r="E122" t="s">
        <v>348</v>
      </c>
      <c r="F122" t="s">
        <v>40</v>
      </c>
      <c r="G122" t="s">
        <v>35</v>
      </c>
      <c r="H122" s="4">
        <v>8</v>
      </c>
      <c r="I122" t="str">
        <f t="shared" si="1"/>
        <v>Macrodon ancylodonBangamary</v>
      </c>
    </row>
    <row r="123" spans="1:9" x14ac:dyDescent="0.35">
      <c r="A123">
        <v>4</v>
      </c>
      <c r="B123">
        <v>2015</v>
      </c>
      <c r="C123">
        <v>10</v>
      </c>
      <c r="D123" t="s">
        <v>176</v>
      </c>
      <c r="E123" t="s">
        <v>348</v>
      </c>
      <c r="F123" t="s">
        <v>122</v>
      </c>
      <c r="G123" t="s">
        <v>53</v>
      </c>
      <c r="H123" s="4">
        <v>15</v>
      </c>
      <c r="I123" t="str">
        <f t="shared" si="1"/>
        <v>Pellona harroweriRiver Pellona</v>
      </c>
    </row>
    <row r="124" spans="1:9" x14ac:dyDescent="0.35">
      <c r="A124">
        <v>4</v>
      </c>
      <c r="B124">
        <v>2015</v>
      </c>
      <c r="C124">
        <v>10</v>
      </c>
      <c r="D124" t="s">
        <v>176</v>
      </c>
      <c r="E124" t="s">
        <v>348</v>
      </c>
      <c r="F124" t="s">
        <v>122</v>
      </c>
      <c r="G124" t="s">
        <v>53</v>
      </c>
      <c r="H124" s="4">
        <v>14</v>
      </c>
      <c r="I124" t="str">
        <f t="shared" si="1"/>
        <v>Pellona harroweriRiver Pellona</v>
      </c>
    </row>
    <row r="125" spans="1:9" x14ac:dyDescent="0.35">
      <c r="A125">
        <v>4</v>
      </c>
      <c r="B125">
        <v>2015</v>
      </c>
      <c r="C125">
        <v>10</v>
      </c>
      <c r="D125" t="s">
        <v>176</v>
      </c>
      <c r="E125" t="s">
        <v>348</v>
      </c>
      <c r="F125" t="s">
        <v>122</v>
      </c>
      <c r="G125" t="s">
        <v>53</v>
      </c>
      <c r="H125" s="4">
        <v>15</v>
      </c>
      <c r="I125" t="str">
        <f t="shared" si="1"/>
        <v>Pellona harroweriRiver Pellona</v>
      </c>
    </row>
    <row r="126" spans="1:9" x14ac:dyDescent="0.35">
      <c r="A126">
        <v>4</v>
      </c>
      <c r="B126">
        <v>2015</v>
      </c>
      <c r="C126">
        <v>10</v>
      </c>
      <c r="D126" t="s">
        <v>176</v>
      </c>
      <c r="E126" t="s">
        <v>348</v>
      </c>
      <c r="F126" t="s">
        <v>122</v>
      </c>
      <c r="G126" t="s">
        <v>53</v>
      </c>
      <c r="H126" s="4">
        <v>12</v>
      </c>
      <c r="I126" t="str">
        <f t="shared" si="1"/>
        <v>Pellona harroweriRiver Pellona</v>
      </c>
    </row>
    <row r="127" spans="1:9" x14ac:dyDescent="0.35">
      <c r="A127">
        <v>4</v>
      </c>
      <c r="B127">
        <v>2015</v>
      </c>
      <c r="C127">
        <v>10</v>
      </c>
      <c r="D127" t="s">
        <v>176</v>
      </c>
      <c r="E127" t="s">
        <v>348</v>
      </c>
      <c r="F127" t="s">
        <v>122</v>
      </c>
      <c r="G127" t="s">
        <v>53</v>
      </c>
      <c r="H127" s="4">
        <v>14</v>
      </c>
      <c r="I127" t="str">
        <f t="shared" si="1"/>
        <v>Pellona harroweriRiver Pellona</v>
      </c>
    </row>
    <row r="128" spans="1:9" x14ac:dyDescent="0.35">
      <c r="A128">
        <v>4</v>
      </c>
      <c r="B128">
        <v>2015</v>
      </c>
      <c r="C128">
        <v>10</v>
      </c>
      <c r="D128" t="s">
        <v>176</v>
      </c>
      <c r="E128" t="s">
        <v>348</v>
      </c>
      <c r="F128" t="s">
        <v>122</v>
      </c>
      <c r="G128" t="s">
        <v>53</v>
      </c>
      <c r="H128" s="4">
        <v>11</v>
      </c>
      <c r="I128" t="str">
        <f t="shared" si="1"/>
        <v>Pellona harroweriRiver Pellona</v>
      </c>
    </row>
    <row r="129" spans="1:9" x14ac:dyDescent="0.35">
      <c r="A129">
        <v>4</v>
      </c>
      <c r="B129">
        <v>2015</v>
      </c>
      <c r="C129">
        <v>10</v>
      </c>
      <c r="D129" t="s">
        <v>176</v>
      </c>
      <c r="E129" t="s">
        <v>348</v>
      </c>
      <c r="F129" t="s">
        <v>122</v>
      </c>
      <c r="G129" t="s">
        <v>53</v>
      </c>
      <c r="H129" s="4">
        <v>15</v>
      </c>
      <c r="I129" t="str">
        <f t="shared" si="1"/>
        <v>Pellona harroweriRiver Pellona</v>
      </c>
    </row>
    <row r="130" spans="1:9" x14ac:dyDescent="0.35">
      <c r="A130">
        <v>4</v>
      </c>
      <c r="B130">
        <v>2015</v>
      </c>
      <c r="C130">
        <v>10</v>
      </c>
      <c r="D130" t="s">
        <v>176</v>
      </c>
      <c r="E130" t="s">
        <v>348</v>
      </c>
      <c r="F130" t="s">
        <v>122</v>
      </c>
      <c r="G130" t="s">
        <v>53</v>
      </c>
      <c r="H130" s="4">
        <v>11</v>
      </c>
      <c r="I130" t="str">
        <f t="shared" si="1"/>
        <v>Pellona harroweriRiver Pellona</v>
      </c>
    </row>
    <row r="131" spans="1:9" x14ac:dyDescent="0.35">
      <c r="A131">
        <v>4</v>
      </c>
      <c r="B131">
        <v>2015</v>
      </c>
      <c r="C131">
        <v>10</v>
      </c>
      <c r="D131" t="s">
        <v>176</v>
      </c>
      <c r="E131" t="s">
        <v>348</v>
      </c>
      <c r="F131" t="s">
        <v>122</v>
      </c>
      <c r="G131" t="s">
        <v>53</v>
      </c>
      <c r="H131" s="4">
        <v>10</v>
      </c>
      <c r="I131" t="str">
        <f t="shared" ref="I131:I194" si="2">CONCATENATE(F131,G131)</f>
        <v>Pellona harroweriRiver Pellona</v>
      </c>
    </row>
    <row r="132" spans="1:9" x14ac:dyDescent="0.35">
      <c r="A132">
        <v>4</v>
      </c>
      <c r="B132">
        <v>2015</v>
      </c>
      <c r="C132">
        <v>10</v>
      </c>
      <c r="D132" t="s">
        <v>176</v>
      </c>
      <c r="E132" t="s">
        <v>348</v>
      </c>
      <c r="F132" t="s">
        <v>122</v>
      </c>
      <c r="G132" t="s">
        <v>53</v>
      </c>
      <c r="H132" s="4">
        <v>14</v>
      </c>
      <c r="I132" t="str">
        <f t="shared" si="2"/>
        <v>Pellona harroweriRiver Pellona</v>
      </c>
    </row>
    <row r="133" spans="1:9" x14ac:dyDescent="0.35">
      <c r="A133">
        <v>4</v>
      </c>
      <c r="B133">
        <v>2015</v>
      </c>
      <c r="C133">
        <v>10</v>
      </c>
      <c r="D133" t="s">
        <v>176</v>
      </c>
      <c r="E133" t="s">
        <v>348</v>
      </c>
      <c r="F133" t="s">
        <v>50</v>
      </c>
      <c r="G133" t="s">
        <v>56</v>
      </c>
      <c r="H133" s="4">
        <v>50</v>
      </c>
      <c r="I133" t="str">
        <f t="shared" si="2"/>
        <v>Trichiurus lepturusSilverbelt</v>
      </c>
    </row>
    <row r="134" spans="1:9" x14ac:dyDescent="0.35">
      <c r="A134">
        <v>4</v>
      </c>
      <c r="B134">
        <v>2015</v>
      </c>
      <c r="C134">
        <v>10</v>
      </c>
      <c r="D134" t="s">
        <v>176</v>
      </c>
      <c r="E134" t="s">
        <v>348</v>
      </c>
      <c r="F134" t="s">
        <v>50</v>
      </c>
      <c r="G134" t="s">
        <v>56</v>
      </c>
      <c r="H134" s="4">
        <v>53</v>
      </c>
      <c r="I134" t="str">
        <f t="shared" si="2"/>
        <v>Trichiurus lepturusSilverbelt</v>
      </c>
    </row>
    <row r="135" spans="1:9" x14ac:dyDescent="0.35">
      <c r="A135">
        <v>4</v>
      </c>
      <c r="B135">
        <v>2015</v>
      </c>
      <c r="C135">
        <v>10</v>
      </c>
      <c r="D135" t="s">
        <v>176</v>
      </c>
      <c r="E135" t="s">
        <v>348</v>
      </c>
      <c r="F135" t="s">
        <v>50</v>
      </c>
      <c r="G135" t="s">
        <v>56</v>
      </c>
      <c r="H135" s="4">
        <v>55</v>
      </c>
      <c r="I135" t="str">
        <f t="shared" si="2"/>
        <v>Trichiurus lepturusSilverbelt</v>
      </c>
    </row>
    <row r="136" spans="1:9" x14ac:dyDescent="0.35">
      <c r="A136">
        <v>4</v>
      </c>
      <c r="B136">
        <v>2015</v>
      </c>
      <c r="C136">
        <v>10</v>
      </c>
      <c r="D136" t="s">
        <v>176</v>
      </c>
      <c r="E136" t="s">
        <v>348</v>
      </c>
      <c r="F136" t="s">
        <v>50</v>
      </c>
      <c r="G136" t="s">
        <v>56</v>
      </c>
      <c r="H136" s="4">
        <v>58</v>
      </c>
      <c r="I136" t="str">
        <f t="shared" si="2"/>
        <v>Trichiurus lepturusSilverbelt</v>
      </c>
    </row>
    <row r="137" spans="1:9" x14ac:dyDescent="0.35">
      <c r="A137">
        <v>4</v>
      </c>
      <c r="B137">
        <v>2015</v>
      </c>
      <c r="C137">
        <v>10</v>
      </c>
      <c r="D137" t="s">
        <v>176</v>
      </c>
      <c r="E137" t="s">
        <v>348</v>
      </c>
      <c r="F137" t="s">
        <v>50</v>
      </c>
      <c r="G137" t="s">
        <v>56</v>
      </c>
      <c r="H137" s="4">
        <v>50</v>
      </c>
      <c r="I137" t="str">
        <f t="shared" si="2"/>
        <v>Trichiurus lepturusSilverbelt</v>
      </c>
    </row>
    <row r="138" spans="1:9" x14ac:dyDescent="0.35">
      <c r="A138">
        <v>4</v>
      </c>
      <c r="B138">
        <v>2015</v>
      </c>
      <c r="C138">
        <v>10</v>
      </c>
      <c r="D138" t="s">
        <v>176</v>
      </c>
      <c r="E138" t="s">
        <v>348</v>
      </c>
      <c r="F138" t="s">
        <v>50</v>
      </c>
      <c r="G138" t="s">
        <v>56</v>
      </c>
      <c r="H138" s="4">
        <v>54</v>
      </c>
      <c r="I138" t="str">
        <f t="shared" si="2"/>
        <v>Trichiurus lepturusSilverbelt</v>
      </c>
    </row>
    <row r="139" spans="1:9" x14ac:dyDescent="0.35">
      <c r="A139">
        <v>4</v>
      </c>
      <c r="B139">
        <v>2015</v>
      </c>
      <c r="C139">
        <v>10</v>
      </c>
      <c r="D139" t="s">
        <v>176</v>
      </c>
      <c r="E139" t="s">
        <v>348</v>
      </c>
      <c r="F139" t="s">
        <v>50</v>
      </c>
      <c r="G139" t="s">
        <v>56</v>
      </c>
      <c r="H139" s="4">
        <v>47</v>
      </c>
      <c r="I139" t="str">
        <f t="shared" si="2"/>
        <v>Trichiurus lepturusSilverbelt</v>
      </c>
    </row>
    <row r="140" spans="1:9" x14ac:dyDescent="0.35">
      <c r="A140">
        <v>4</v>
      </c>
      <c r="B140">
        <v>2015</v>
      </c>
      <c r="C140">
        <v>10</v>
      </c>
      <c r="D140" t="s">
        <v>176</v>
      </c>
      <c r="E140" t="s">
        <v>348</v>
      </c>
      <c r="F140" t="s">
        <v>50</v>
      </c>
      <c r="G140" t="s">
        <v>56</v>
      </c>
      <c r="H140" s="4">
        <v>57</v>
      </c>
      <c r="I140" t="str">
        <f t="shared" si="2"/>
        <v>Trichiurus lepturusSilverbelt</v>
      </c>
    </row>
    <row r="141" spans="1:9" x14ac:dyDescent="0.35">
      <c r="A141">
        <v>4</v>
      </c>
      <c r="B141">
        <v>2015</v>
      </c>
      <c r="C141">
        <v>10</v>
      </c>
      <c r="D141" t="s">
        <v>176</v>
      </c>
      <c r="E141" t="s">
        <v>348</v>
      </c>
      <c r="F141" t="s">
        <v>50</v>
      </c>
      <c r="G141" t="s">
        <v>56</v>
      </c>
      <c r="H141" s="4">
        <v>45</v>
      </c>
      <c r="I141" t="str">
        <f t="shared" si="2"/>
        <v>Trichiurus lepturusSilverbelt</v>
      </c>
    </row>
    <row r="142" spans="1:9" x14ac:dyDescent="0.35">
      <c r="A142">
        <v>4</v>
      </c>
      <c r="B142">
        <v>2015</v>
      </c>
      <c r="C142">
        <v>10</v>
      </c>
      <c r="D142" t="s">
        <v>176</v>
      </c>
      <c r="E142" t="s">
        <v>348</v>
      </c>
      <c r="F142" t="s">
        <v>50</v>
      </c>
      <c r="G142" t="s">
        <v>56</v>
      </c>
      <c r="H142" s="4">
        <v>39</v>
      </c>
      <c r="I142" t="str">
        <f t="shared" si="2"/>
        <v>Trichiurus lepturusSilverbelt</v>
      </c>
    </row>
    <row r="143" spans="1:9" x14ac:dyDescent="0.35">
      <c r="A143">
        <v>4</v>
      </c>
      <c r="B143">
        <v>2015</v>
      </c>
      <c r="C143">
        <v>10</v>
      </c>
      <c r="D143" t="s">
        <v>176</v>
      </c>
      <c r="E143" t="s">
        <v>348</v>
      </c>
      <c r="F143" t="s">
        <v>45</v>
      </c>
      <c r="G143" t="s">
        <v>46</v>
      </c>
      <c r="H143" s="4">
        <v>7</v>
      </c>
      <c r="I143" t="str">
        <f t="shared" si="2"/>
        <v>Conodon nobilisGrunt</v>
      </c>
    </row>
    <row r="144" spans="1:9" x14ac:dyDescent="0.35">
      <c r="A144">
        <v>4</v>
      </c>
      <c r="B144">
        <v>2015</v>
      </c>
      <c r="C144">
        <v>10</v>
      </c>
      <c r="D144" t="s">
        <v>176</v>
      </c>
      <c r="E144" t="s">
        <v>348</v>
      </c>
      <c r="F144" t="s">
        <v>45</v>
      </c>
      <c r="G144" t="s">
        <v>46</v>
      </c>
      <c r="H144" s="4">
        <v>7</v>
      </c>
      <c r="I144" t="str">
        <f t="shared" si="2"/>
        <v>Conodon nobilisGrunt</v>
      </c>
    </row>
    <row r="145" spans="1:9" x14ac:dyDescent="0.35">
      <c r="A145">
        <v>4</v>
      </c>
      <c r="B145">
        <v>2015</v>
      </c>
      <c r="C145">
        <v>10</v>
      </c>
      <c r="D145" t="s">
        <v>176</v>
      </c>
      <c r="E145" t="s">
        <v>348</v>
      </c>
      <c r="F145" t="s">
        <v>45</v>
      </c>
      <c r="G145" t="s">
        <v>46</v>
      </c>
      <c r="H145" s="4">
        <v>6</v>
      </c>
      <c r="I145" t="str">
        <f t="shared" si="2"/>
        <v>Conodon nobilisGrunt</v>
      </c>
    </row>
    <row r="146" spans="1:9" x14ac:dyDescent="0.35">
      <c r="A146">
        <v>4</v>
      </c>
      <c r="B146">
        <v>2015</v>
      </c>
      <c r="C146">
        <v>10</v>
      </c>
      <c r="D146" t="s">
        <v>176</v>
      </c>
      <c r="E146" t="s">
        <v>348</v>
      </c>
      <c r="F146" t="s">
        <v>45</v>
      </c>
      <c r="G146" t="s">
        <v>46</v>
      </c>
      <c r="H146" s="4">
        <v>8</v>
      </c>
      <c r="I146" t="str">
        <f t="shared" si="2"/>
        <v>Conodon nobilisGrunt</v>
      </c>
    </row>
    <row r="147" spans="1:9" x14ac:dyDescent="0.35">
      <c r="A147">
        <v>4</v>
      </c>
      <c r="B147">
        <v>2015</v>
      </c>
      <c r="C147">
        <v>10</v>
      </c>
      <c r="D147" t="s">
        <v>176</v>
      </c>
      <c r="E147" t="s">
        <v>348</v>
      </c>
      <c r="F147" t="s">
        <v>43</v>
      </c>
      <c r="G147" t="s">
        <v>57</v>
      </c>
      <c r="H147" s="4">
        <v>25</v>
      </c>
      <c r="I147" t="str">
        <f t="shared" si="2"/>
        <v>Cynoscion virescensSeatrout</v>
      </c>
    </row>
    <row r="148" spans="1:9" x14ac:dyDescent="0.35">
      <c r="A148">
        <v>4</v>
      </c>
      <c r="B148">
        <v>2015</v>
      </c>
      <c r="C148">
        <v>10</v>
      </c>
      <c r="D148" t="s">
        <v>176</v>
      </c>
      <c r="E148" t="s">
        <v>348</v>
      </c>
      <c r="F148" t="s">
        <v>43</v>
      </c>
      <c r="G148" t="s">
        <v>57</v>
      </c>
      <c r="H148" s="4">
        <v>27</v>
      </c>
      <c r="I148" t="str">
        <f t="shared" si="2"/>
        <v>Cynoscion virescensSeatrout</v>
      </c>
    </row>
    <row r="149" spans="1:9" x14ac:dyDescent="0.35">
      <c r="A149">
        <v>4</v>
      </c>
      <c r="B149">
        <v>2015</v>
      </c>
      <c r="C149">
        <v>10</v>
      </c>
      <c r="D149" t="s">
        <v>176</v>
      </c>
      <c r="E149" t="s">
        <v>348</v>
      </c>
      <c r="F149" t="s">
        <v>43</v>
      </c>
      <c r="G149" t="s">
        <v>57</v>
      </c>
      <c r="H149" s="4">
        <v>23</v>
      </c>
      <c r="I149" t="str">
        <f t="shared" si="2"/>
        <v>Cynoscion virescensSeatrout</v>
      </c>
    </row>
    <row r="150" spans="1:9" x14ac:dyDescent="0.35">
      <c r="A150">
        <v>4</v>
      </c>
      <c r="B150">
        <v>2015</v>
      </c>
      <c r="C150">
        <v>10</v>
      </c>
      <c r="D150" t="s">
        <v>176</v>
      </c>
      <c r="E150" t="s">
        <v>348</v>
      </c>
      <c r="F150" t="s">
        <v>43</v>
      </c>
      <c r="G150" t="s">
        <v>57</v>
      </c>
      <c r="H150" s="4">
        <v>14</v>
      </c>
      <c r="I150" t="str">
        <f t="shared" si="2"/>
        <v>Cynoscion virescensSeatrout</v>
      </c>
    </row>
    <row r="151" spans="1:9" x14ac:dyDescent="0.35">
      <c r="A151">
        <v>4</v>
      </c>
      <c r="B151">
        <v>2015</v>
      </c>
      <c r="C151">
        <v>10</v>
      </c>
      <c r="D151" t="s">
        <v>176</v>
      </c>
      <c r="E151" t="s">
        <v>348</v>
      </c>
      <c r="F151" t="s">
        <v>43</v>
      </c>
      <c r="G151" t="s">
        <v>57</v>
      </c>
      <c r="H151" s="4">
        <v>26</v>
      </c>
      <c r="I151" t="str">
        <f t="shared" si="2"/>
        <v>Cynoscion virescensSeatrout</v>
      </c>
    </row>
    <row r="152" spans="1:9" x14ac:dyDescent="0.35">
      <c r="A152">
        <v>4</v>
      </c>
      <c r="B152">
        <v>2015</v>
      </c>
      <c r="C152">
        <v>10</v>
      </c>
      <c r="D152" t="s">
        <v>176</v>
      </c>
      <c r="E152" t="s">
        <v>348</v>
      </c>
      <c r="F152" t="s">
        <v>43</v>
      </c>
      <c r="G152" t="s">
        <v>57</v>
      </c>
      <c r="H152" s="4">
        <v>23</v>
      </c>
      <c r="I152" t="str">
        <f t="shared" si="2"/>
        <v>Cynoscion virescensSeatrout</v>
      </c>
    </row>
    <row r="153" spans="1:9" x14ac:dyDescent="0.35">
      <c r="A153">
        <v>4</v>
      </c>
      <c r="B153">
        <v>2015</v>
      </c>
      <c r="C153">
        <v>10</v>
      </c>
      <c r="D153" t="s">
        <v>176</v>
      </c>
      <c r="E153" t="s">
        <v>348</v>
      </c>
      <c r="F153" t="s">
        <v>43</v>
      </c>
      <c r="G153" t="s">
        <v>57</v>
      </c>
      <c r="H153" s="4">
        <v>25</v>
      </c>
      <c r="I153" t="str">
        <f t="shared" si="2"/>
        <v>Cynoscion virescensSeatrout</v>
      </c>
    </row>
    <row r="154" spans="1:9" x14ac:dyDescent="0.35">
      <c r="A154">
        <v>4</v>
      </c>
      <c r="B154">
        <v>2015</v>
      </c>
      <c r="C154">
        <v>10</v>
      </c>
      <c r="D154" t="s">
        <v>176</v>
      </c>
      <c r="E154" t="s">
        <v>348</v>
      </c>
      <c r="F154" t="s">
        <v>43</v>
      </c>
      <c r="G154" t="s">
        <v>57</v>
      </c>
      <c r="H154" s="4">
        <v>20</v>
      </c>
      <c r="I154" t="str">
        <f t="shared" si="2"/>
        <v>Cynoscion virescensSeatrout</v>
      </c>
    </row>
    <row r="155" spans="1:9" x14ac:dyDescent="0.35">
      <c r="A155">
        <v>4</v>
      </c>
      <c r="B155">
        <v>2015</v>
      </c>
      <c r="C155">
        <v>10</v>
      </c>
      <c r="D155" t="s">
        <v>176</v>
      </c>
      <c r="E155" t="s">
        <v>348</v>
      </c>
      <c r="F155" t="s">
        <v>43</v>
      </c>
      <c r="G155" t="s">
        <v>57</v>
      </c>
      <c r="H155" s="4">
        <v>24</v>
      </c>
      <c r="I155" t="str">
        <f t="shared" si="2"/>
        <v>Cynoscion virescensSeatrout</v>
      </c>
    </row>
    <row r="156" spans="1:9" x14ac:dyDescent="0.35">
      <c r="A156">
        <v>4</v>
      </c>
      <c r="B156">
        <v>2015</v>
      </c>
      <c r="C156">
        <v>10</v>
      </c>
      <c r="D156" t="s">
        <v>176</v>
      </c>
      <c r="E156" t="s">
        <v>348</v>
      </c>
      <c r="F156" t="s">
        <v>43</v>
      </c>
      <c r="G156" t="s">
        <v>57</v>
      </c>
      <c r="H156" s="4">
        <v>23</v>
      </c>
      <c r="I156" t="str">
        <f t="shared" si="2"/>
        <v>Cynoscion virescensSeatrout</v>
      </c>
    </row>
    <row r="157" spans="1:9" x14ac:dyDescent="0.35">
      <c r="A157">
        <v>5</v>
      </c>
      <c r="B157" s="2">
        <v>2015</v>
      </c>
      <c r="C157">
        <v>10</v>
      </c>
      <c r="D157" t="s">
        <v>174</v>
      </c>
      <c r="E157" t="s">
        <v>348</v>
      </c>
      <c r="F157" t="s">
        <v>2</v>
      </c>
      <c r="G157" t="s">
        <v>307</v>
      </c>
      <c r="H157" s="4">
        <v>19</v>
      </c>
      <c r="I157" t="str">
        <f t="shared" si="2"/>
        <v>Gymnura micruraButterfly stingray</v>
      </c>
    </row>
    <row r="158" spans="1:9" x14ac:dyDescent="0.35">
      <c r="A158">
        <v>5</v>
      </c>
      <c r="B158" s="2">
        <v>2015</v>
      </c>
      <c r="C158">
        <v>10</v>
      </c>
      <c r="D158" t="s">
        <v>174</v>
      </c>
      <c r="E158" t="s">
        <v>348</v>
      </c>
      <c r="F158" t="s">
        <v>2</v>
      </c>
      <c r="G158" t="s">
        <v>307</v>
      </c>
      <c r="H158" s="4">
        <v>18</v>
      </c>
      <c r="I158" t="str">
        <f t="shared" si="2"/>
        <v>Gymnura micruraButterfly stingray</v>
      </c>
    </row>
    <row r="159" spans="1:9" x14ac:dyDescent="0.35">
      <c r="A159">
        <v>5</v>
      </c>
      <c r="B159" s="2">
        <v>2015</v>
      </c>
      <c r="C159">
        <v>10</v>
      </c>
      <c r="D159" t="s">
        <v>174</v>
      </c>
      <c r="E159" t="s">
        <v>348</v>
      </c>
      <c r="F159" t="s">
        <v>36</v>
      </c>
      <c r="G159" t="s">
        <v>33</v>
      </c>
      <c r="H159" s="4">
        <v>50</v>
      </c>
      <c r="I159" t="str">
        <f t="shared" si="2"/>
        <v>Aridae (G) ariusSpring Cuirass</v>
      </c>
    </row>
    <row r="160" spans="1:9" x14ac:dyDescent="0.35">
      <c r="A160">
        <v>5</v>
      </c>
      <c r="B160" s="2">
        <v>2015</v>
      </c>
      <c r="C160">
        <v>10</v>
      </c>
      <c r="D160" t="s">
        <v>174</v>
      </c>
      <c r="E160" t="s">
        <v>348</v>
      </c>
      <c r="F160" t="s">
        <v>36</v>
      </c>
      <c r="G160" t="s">
        <v>33</v>
      </c>
      <c r="H160" s="4">
        <v>28</v>
      </c>
      <c r="I160" t="str">
        <f t="shared" si="2"/>
        <v>Aridae (G) ariusSpring Cuirass</v>
      </c>
    </row>
    <row r="161" spans="1:9" x14ac:dyDescent="0.35">
      <c r="A161">
        <v>5</v>
      </c>
      <c r="B161" s="2">
        <v>2015</v>
      </c>
      <c r="C161">
        <v>10</v>
      </c>
      <c r="D161" t="s">
        <v>174</v>
      </c>
      <c r="E161" t="s">
        <v>348</v>
      </c>
      <c r="F161" t="s">
        <v>36</v>
      </c>
      <c r="G161" t="s">
        <v>33</v>
      </c>
      <c r="H161" s="4">
        <v>17</v>
      </c>
      <c r="I161" t="str">
        <f t="shared" si="2"/>
        <v>Aridae (G) ariusSpring Cuirass</v>
      </c>
    </row>
    <row r="162" spans="1:9" x14ac:dyDescent="0.35">
      <c r="A162">
        <v>5</v>
      </c>
      <c r="B162" s="2">
        <v>2015</v>
      </c>
      <c r="C162">
        <v>10</v>
      </c>
      <c r="D162" t="s">
        <v>174</v>
      </c>
      <c r="E162" t="s">
        <v>348</v>
      </c>
      <c r="F162" t="s">
        <v>36</v>
      </c>
      <c r="G162" t="s">
        <v>33</v>
      </c>
      <c r="H162" s="4">
        <v>43</v>
      </c>
      <c r="I162" t="str">
        <f t="shared" si="2"/>
        <v>Aridae (G) ariusSpring Cuirass</v>
      </c>
    </row>
    <row r="163" spans="1:9" x14ac:dyDescent="0.35">
      <c r="A163">
        <v>5</v>
      </c>
      <c r="B163" s="2">
        <v>2015</v>
      </c>
      <c r="C163">
        <v>10</v>
      </c>
      <c r="D163" t="s">
        <v>174</v>
      </c>
      <c r="E163" t="s">
        <v>348</v>
      </c>
      <c r="F163" t="s">
        <v>36</v>
      </c>
      <c r="G163" t="s">
        <v>33</v>
      </c>
      <c r="H163" s="4">
        <v>29</v>
      </c>
      <c r="I163" t="str">
        <f t="shared" si="2"/>
        <v>Aridae (G) ariusSpring Cuirass</v>
      </c>
    </row>
    <row r="164" spans="1:9" x14ac:dyDescent="0.35">
      <c r="A164">
        <v>5</v>
      </c>
      <c r="B164" s="2">
        <v>2015</v>
      </c>
      <c r="C164">
        <v>10</v>
      </c>
      <c r="D164" t="s">
        <v>174</v>
      </c>
      <c r="E164" t="s">
        <v>348</v>
      </c>
      <c r="F164" t="s">
        <v>6</v>
      </c>
      <c r="G164" t="s">
        <v>37</v>
      </c>
      <c r="H164" s="4">
        <v>36</v>
      </c>
      <c r="I164" t="str">
        <f t="shared" si="2"/>
        <v>Symphurus plagusiaTongue fish</v>
      </c>
    </row>
    <row r="165" spans="1:9" x14ac:dyDescent="0.35">
      <c r="A165">
        <v>5</v>
      </c>
      <c r="B165" s="2">
        <v>2015</v>
      </c>
      <c r="C165">
        <v>10</v>
      </c>
      <c r="D165" t="s">
        <v>174</v>
      </c>
      <c r="E165" t="s">
        <v>348</v>
      </c>
      <c r="F165" t="s">
        <v>6</v>
      </c>
      <c r="G165" t="s">
        <v>37</v>
      </c>
      <c r="H165" s="4">
        <v>14</v>
      </c>
      <c r="I165" t="str">
        <f t="shared" si="2"/>
        <v>Symphurus plagusiaTongue fish</v>
      </c>
    </row>
    <row r="166" spans="1:9" x14ac:dyDescent="0.35">
      <c r="A166">
        <v>5</v>
      </c>
      <c r="B166" s="2">
        <v>2015</v>
      </c>
      <c r="C166">
        <v>10</v>
      </c>
      <c r="D166" t="s">
        <v>174</v>
      </c>
      <c r="E166" t="s">
        <v>348</v>
      </c>
      <c r="F166" t="s">
        <v>6</v>
      </c>
      <c r="G166" t="s">
        <v>37</v>
      </c>
      <c r="H166" s="4">
        <v>14</v>
      </c>
      <c r="I166" t="str">
        <f t="shared" si="2"/>
        <v>Symphurus plagusiaTongue fish</v>
      </c>
    </row>
    <row r="167" spans="1:9" x14ac:dyDescent="0.35">
      <c r="A167">
        <v>5</v>
      </c>
      <c r="B167" s="2">
        <v>2015</v>
      </c>
      <c r="C167">
        <v>10</v>
      </c>
      <c r="D167" t="s">
        <v>174</v>
      </c>
      <c r="E167" t="s">
        <v>348</v>
      </c>
      <c r="F167" t="s">
        <v>6</v>
      </c>
      <c r="G167" t="s">
        <v>37</v>
      </c>
      <c r="H167" s="4">
        <v>12</v>
      </c>
      <c r="I167" t="str">
        <f t="shared" si="2"/>
        <v>Symphurus plagusiaTongue fish</v>
      </c>
    </row>
    <row r="168" spans="1:9" x14ac:dyDescent="0.35">
      <c r="A168">
        <v>5</v>
      </c>
      <c r="B168" s="2">
        <v>2015</v>
      </c>
      <c r="C168">
        <v>10</v>
      </c>
      <c r="D168" t="s">
        <v>174</v>
      </c>
      <c r="E168" t="s">
        <v>348</v>
      </c>
      <c r="F168" t="s">
        <v>6</v>
      </c>
      <c r="G168" t="s">
        <v>37</v>
      </c>
      <c r="H168" s="4">
        <v>14</v>
      </c>
      <c r="I168" t="str">
        <f t="shared" si="2"/>
        <v>Symphurus plagusiaTongue fish</v>
      </c>
    </row>
    <row r="169" spans="1:9" x14ac:dyDescent="0.35">
      <c r="A169">
        <v>5</v>
      </c>
      <c r="B169" s="2">
        <v>2015</v>
      </c>
      <c r="C169">
        <v>10</v>
      </c>
      <c r="D169" t="s">
        <v>174</v>
      </c>
      <c r="E169" t="s">
        <v>348</v>
      </c>
      <c r="F169" t="s">
        <v>6</v>
      </c>
      <c r="G169" t="s">
        <v>37</v>
      </c>
      <c r="H169" s="4">
        <v>15</v>
      </c>
      <c r="I169" t="str">
        <f t="shared" si="2"/>
        <v>Symphurus plagusiaTongue fish</v>
      </c>
    </row>
    <row r="170" spans="1:9" x14ac:dyDescent="0.35">
      <c r="A170">
        <v>5</v>
      </c>
      <c r="B170" s="2">
        <v>2015</v>
      </c>
      <c r="C170">
        <v>10</v>
      </c>
      <c r="D170" t="s">
        <v>174</v>
      </c>
      <c r="E170" t="s">
        <v>348</v>
      </c>
      <c r="F170" t="s">
        <v>6</v>
      </c>
      <c r="G170" t="s">
        <v>37</v>
      </c>
      <c r="H170" s="4">
        <v>13</v>
      </c>
      <c r="I170" t="str">
        <f t="shared" si="2"/>
        <v>Symphurus plagusiaTongue fish</v>
      </c>
    </row>
    <row r="171" spans="1:9" x14ac:dyDescent="0.35">
      <c r="A171">
        <v>5</v>
      </c>
      <c r="B171" s="2">
        <v>2015</v>
      </c>
      <c r="C171">
        <v>10</v>
      </c>
      <c r="D171" t="s">
        <v>174</v>
      </c>
      <c r="E171" t="s">
        <v>348</v>
      </c>
      <c r="F171" t="s">
        <v>6</v>
      </c>
      <c r="G171" t="s">
        <v>37</v>
      </c>
      <c r="H171" s="4">
        <v>13</v>
      </c>
      <c r="I171" t="str">
        <f t="shared" si="2"/>
        <v>Symphurus plagusiaTongue fish</v>
      </c>
    </row>
    <row r="172" spans="1:9" x14ac:dyDescent="0.35">
      <c r="A172">
        <v>5</v>
      </c>
      <c r="B172" s="2">
        <v>2015</v>
      </c>
      <c r="C172">
        <v>10</v>
      </c>
      <c r="D172" t="s">
        <v>174</v>
      </c>
      <c r="E172" t="s">
        <v>348</v>
      </c>
      <c r="F172" t="s">
        <v>6</v>
      </c>
      <c r="G172" t="s">
        <v>37</v>
      </c>
      <c r="H172" s="4">
        <v>14</v>
      </c>
      <c r="I172" t="str">
        <f t="shared" si="2"/>
        <v>Symphurus plagusiaTongue fish</v>
      </c>
    </row>
    <row r="173" spans="1:9" x14ac:dyDescent="0.35">
      <c r="A173">
        <v>5</v>
      </c>
      <c r="B173" s="2">
        <v>2015</v>
      </c>
      <c r="C173">
        <v>10</v>
      </c>
      <c r="D173" t="s">
        <v>174</v>
      </c>
      <c r="E173" t="s">
        <v>348</v>
      </c>
      <c r="F173" t="s">
        <v>6</v>
      </c>
      <c r="G173" t="s">
        <v>37</v>
      </c>
      <c r="H173" s="4">
        <v>13</v>
      </c>
      <c r="I173" t="str">
        <f t="shared" si="2"/>
        <v>Symphurus plagusiaTongue fish</v>
      </c>
    </row>
    <row r="174" spans="1:9" x14ac:dyDescent="0.35">
      <c r="A174">
        <v>5</v>
      </c>
      <c r="B174" s="2">
        <v>2015</v>
      </c>
      <c r="C174">
        <v>10</v>
      </c>
      <c r="D174" t="s">
        <v>174</v>
      </c>
      <c r="E174" t="s">
        <v>348</v>
      </c>
      <c r="F174" t="s">
        <v>7</v>
      </c>
      <c r="G174" t="s">
        <v>8</v>
      </c>
      <c r="H174" s="4">
        <v>8</v>
      </c>
      <c r="I174" t="str">
        <f t="shared" si="2"/>
        <v>Achirus achirusDrab Sole</v>
      </c>
    </row>
    <row r="175" spans="1:9" x14ac:dyDescent="0.35">
      <c r="A175">
        <v>5</v>
      </c>
      <c r="B175" s="2">
        <v>2015</v>
      </c>
      <c r="C175">
        <v>10</v>
      </c>
      <c r="D175" t="s">
        <v>174</v>
      </c>
      <c r="E175" t="s">
        <v>348</v>
      </c>
      <c r="F175" t="s">
        <v>7</v>
      </c>
      <c r="G175" t="s">
        <v>8</v>
      </c>
      <c r="H175" s="4">
        <v>6</v>
      </c>
      <c r="I175" t="str">
        <f t="shared" si="2"/>
        <v>Achirus achirusDrab Sole</v>
      </c>
    </row>
    <row r="176" spans="1:9" x14ac:dyDescent="0.35">
      <c r="A176">
        <v>5</v>
      </c>
      <c r="B176" s="2">
        <v>2015</v>
      </c>
      <c r="C176">
        <v>10</v>
      </c>
      <c r="D176" t="s">
        <v>174</v>
      </c>
      <c r="E176" t="s">
        <v>348</v>
      </c>
      <c r="F176" t="s">
        <v>7</v>
      </c>
      <c r="G176" t="s">
        <v>8</v>
      </c>
      <c r="H176" s="4">
        <v>8</v>
      </c>
      <c r="I176" t="str">
        <f t="shared" si="2"/>
        <v>Achirus achirusDrab Sole</v>
      </c>
    </row>
    <row r="177" spans="1:9" x14ac:dyDescent="0.35">
      <c r="A177">
        <v>5</v>
      </c>
      <c r="B177" s="2">
        <v>2015</v>
      </c>
      <c r="C177">
        <v>10</v>
      </c>
      <c r="D177" t="s">
        <v>174</v>
      </c>
      <c r="E177" t="s">
        <v>348</v>
      </c>
      <c r="F177" t="s">
        <v>7</v>
      </c>
      <c r="G177" t="s">
        <v>8</v>
      </c>
      <c r="H177" s="4">
        <v>7</v>
      </c>
      <c r="I177" t="str">
        <f t="shared" si="2"/>
        <v>Achirus achirusDrab Sole</v>
      </c>
    </row>
    <row r="178" spans="1:9" x14ac:dyDescent="0.35">
      <c r="A178">
        <v>5</v>
      </c>
      <c r="B178" s="2">
        <v>2015</v>
      </c>
      <c r="C178">
        <v>10</v>
      </c>
      <c r="D178" t="s">
        <v>174</v>
      </c>
      <c r="E178" t="s">
        <v>348</v>
      </c>
      <c r="F178" t="s">
        <v>7</v>
      </c>
      <c r="G178" t="s">
        <v>8</v>
      </c>
      <c r="H178" s="4">
        <v>5</v>
      </c>
      <c r="I178" t="str">
        <f t="shared" si="2"/>
        <v>Achirus achirusDrab Sole</v>
      </c>
    </row>
    <row r="179" spans="1:9" x14ac:dyDescent="0.35">
      <c r="A179">
        <v>5</v>
      </c>
      <c r="B179" s="2">
        <v>2015</v>
      </c>
      <c r="C179">
        <v>10</v>
      </c>
      <c r="D179" t="s">
        <v>174</v>
      </c>
      <c r="E179" t="s">
        <v>348</v>
      </c>
      <c r="F179" t="s">
        <v>7</v>
      </c>
      <c r="G179" t="s">
        <v>8</v>
      </c>
      <c r="H179" s="4">
        <v>5</v>
      </c>
      <c r="I179" t="str">
        <f t="shared" si="2"/>
        <v>Achirus achirusDrab Sole</v>
      </c>
    </row>
    <row r="180" spans="1:9" x14ac:dyDescent="0.35">
      <c r="A180">
        <v>5</v>
      </c>
      <c r="B180" s="2">
        <v>2015</v>
      </c>
      <c r="C180">
        <v>10</v>
      </c>
      <c r="D180" t="s">
        <v>174</v>
      </c>
      <c r="E180" t="s">
        <v>348</v>
      </c>
      <c r="F180" t="s">
        <v>7</v>
      </c>
      <c r="G180" t="s">
        <v>8</v>
      </c>
      <c r="H180" s="4">
        <v>6</v>
      </c>
      <c r="I180" t="str">
        <f t="shared" si="2"/>
        <v>Achirus achirusDrab Sole</v>
      </c>
    </row>
    <row r="181" spans="1:9" x14ac:dyDescent="0.35">
      <c r="A181">
        <v>5</v>
      </c>
      <c r="B181" s="2">
        <v>2015</v>
      </c>
      <c r="C181">
        <v>10</v>
      </c>
      <c r="D181" t="s">
        <v>174</v>
      </c>
      <c r="E181" t="s">
        <v>348</v>
      </c>
      <c r="F181" t="s">
        <v>85</v>
      </c>
      <c r="G181" t="s">
        <v>86</v>
      </c>
      <c r="H181" s="4">
        <v>11</v>
      </c>
      <c r="I181" t="str">
        <f t="shared" si="2"/>
        <v>Squilla mantisMantis Shrimp</v>
      </c>
    </row>
    <row r="182" spans="1:9" x14ac:dyDescent="0.35">
      <c r="A182">
        <v>5</v>
      </c>
      <c r="B182" s="2">
        <v>2015</v>
      </c>
      <c r="C182">
        <v>10</v>
      </c>
      <c r="D182" t="s">
        <v>174</v>
      </c>
      <c r="E182" t="s">
        <v>348</v>
      </c>
      <c r="F182" t="s">
        <v>85</v>
      </c>
      <c r="G182" t="s">
        <v>86</v>
      </c>
      <c r="H182" s="4">
        <v>8</v>
      </c>
      <c r="I182" t="str">
        <f t="shared" si="2"/>
        <v>Squilla mantisMantis Shrimp</v>
      </c>
    </row>
    <row r="183" spans="1:9" x14ac:dyDescent="0.35">
      <c r="A183">
        <v>5</v>
      </c>
      <c r="B183" s="2">
        <v>2015</v>
      </c>
      <c r="C183">
        <v>10</v>
      </c>
      <c r="D183" t="s">
        <v>174</v>
      </c>
      <c r="E183" t="s">
        <v>348</v>
      </c>
      <c r="F183" t="s">
        <v>85</v>
      </c>
      <c r="G183" t="s">
        <v>86</v>
      </c>
      <c r="H183" s="4">
        <v>8</v>
      </c>
      <c r="I183" t="str">
        <f t="shared" si="2"/>
        <v>Squilla mantisMantis Shrimp</v>
      </c>
    </row>
    <row r="184" spans="1:9" x14ac:dyDescent="0.35">
      <c r="A184">
        <v>5</v>
      </c>
      <c r="B184" s="2">
        <v>2015</v>
      </c>
      <c r="C184">
        <v>10</v>
      </c>
      <c r="D184" t="s">
        <v>174</v>
      </c>
      <c r="E184" t="s">
        <v>348</v>
      </c>
      <c r="F184" t="s">
        <v>85</v>
      </c>
      <c r="G184" t="s">
        <v>86</v>
      </c>
      <c r="H184" s="4">
        <v>10</v>
      </c>
      <c r="I184" t="str">
        <f t="shared" si="2"/>
        <v>Squilla mantisMantis Shrimp</v>
      </c>
    </row>
    <row r="185" spans="1:9" x14ac:dyDescent="0.35">
      <c r="A185">
        <v>5</v>
      </c>
      <c r="B185" s="2">
        <v>2015</v>
      </c>
      <c r="C185">
        <v>10</v>
      </c>
      <c r="D185" t="s">
        <v>174</v>
      </c>
      <c r="E185" t="s">
        <v>348</v>
      </c>
      <c r="F185" t="s">
        <v>85</v>
      </c>
      <c r="G185" t="s">
        <v>86</v>
      </c>
      <c r="H185" s="4">
        <v>11</v>
      </c>
      <c r="I185" t="str">
        <f t="shared" si="2"/>
        <v>Squilla mantisMantis Shrimp</v>
      </c>
    </row>
    <row r="186" spans="1:9" x14ac:dyDescent="0.35">
      <c r="A186">
        <v>5</v>
      </c>
      <c r="B186" s="2">
        <v>2015</v>
      </c>
      <c r="C186">
        <v>10</v>
      </c>
      <c r="D186" t="s">
        <v>174</v>
      </c>
      <c r="E186" t="s">
        <v>348</v>
      </c>
      <c r="F186" t="s">
        <v>85</v>
      </c>
      <c r="G186" t="s">
        <v>86</v>
      </c>
      <c r="H186" s="4">
        <v>9</v>
      </c>
      <c r="I186" t="str">
        <f t="shared" si="2"/>
        <v>Squilla mantisMantis Shrimp</v>
      </c>
    </row>
    <row r="187" spans="1:9" x14ac:dyDescent="0.35">
      <c r="A187">
        <v>5</v>
      </c>
      <c r="B187" s="2">
        <v>2015</v>
      </c>
      <c r="C187">
        <v>10</v>
      </c>
      <c r="D187" t="s">
        <v>174</v>
      </c>
      <c r="E187" t="s">
        <v>348</v>
      </c>
      <c r="F187" t="s">
        <v>85</v>
      </c>
      <c r="G187" t="s">
        <v>86</v>
      </c>
      <c r="H187" s="4">
        <v>9</v>
      </c>
      <c r="I187" t="str">
        <f t="shared" si="2"/>
        <v>Squilla mantisMantis Shrimp</v>
      </c>
    </row>
    <row r="188" spans="1:9" x14ac:dyDescent="0.35">
      <c r="A188">
        <v>5</v>
      </c>
      <c r="B188" s="2">
        <v>2015</v>
      </c>
      <c r="C188">
        <v>10</v>
      </c>
      <c r="D188" t="s">
        <v>174</v>
      </c>
      <c r="E188" t="s">
        <v>348</v>
      </c>
      <c r="F188" t="s">
        <v>85</v>
      </c>
      <c r="G188" t="s">
        <v>86</v>
      </c>
      <c r="H188" s="4">
        <v>10</v>
      </c>
      <c r="I188" t="str">
        <f t="shared" si="2"/>
        <v>Squilla mantisMantis Shrimp</v>
      </c>
    </row>
    <row r="189" spans="1:9" x14ac:dyDescent="0.35">
      <c r="A189">
        <v>5</v>
      </c>
      <c r="B189" s="2">
        <v>2015</v>
      </c>
      <c r="C189">
        <v>10</v>
      </c>
      <c r="D189" t="s">
        <v>174</v>
      </c>
      <c r="E189" t="s">
        <v>348</v>
      </c>
      <c r="F189" t="s">
        <v>85</v>
      </c>
      <c r="G189" t="s">
        <v>86</v>
      </c>
      <c r="H189" s="4">
        <v>10</v>
      </c>
      <c r="I189" t="str">
        <f t="shared" si="2"/>
        <v>Squilla mantisMantis Shrimp</v>
      </c>
    </row>
    <row r="190" spans="1:9" x14ac:dyDescent="0.35">
      <c r="A190">
        <v>5</v>
      </c>
      <c r="B190" s="2">
        <v>2015</v>
      </c>
      <c r="C190">
        <v>10</v>
      </c>
      <c r="D190" t="s">
        <v>174</v>
      </c>
      <c r="E190" t="s">
        <v>348</v>
      </c>
      <c r="F190" t="s">
        <v>41</v>
      </c>
      <c r="G190" t="s">
        <v>10</v>
      </c>
      <c r="H190" s="4">
        <v>7</v>
      </c>
      <c r="I190" t="str">
        <f t="shared" si="2"/>
        <v>Chaetodipterus faberSea Donkey</v>
      </c>
    </row>
    <row r="191" spans="1:9" x14ac:dyDescent="0.35">
      <c r="A191">
        <v>5</v>
      </c>
      <c r="B191" s="2">
        <v>2015</v>
      </c>
      <c r="C191">
        <v>10</v>
      </c>
      <c r="D191" t="s">
        <v>174</v>
      </c>
      <c r="E191" t="s">
        <v>348</v>
      </c>
      <c r="F191" t="s">
        <v>41</v>
      </c>
      <c r="G191" t="s">
        <v>10</v>
      </c>
      <c r="H191" s="4">
        <v>3</v>
      </c>
      <c r="I191" t="str">
        <f t="shared" si="2"/>
        <v>Chaetodipterus faberSea Donkey</v>
      </c>
    </row>
    <row r="192" spans="1:9" x14ac:dyDescent="0.35">
      <c r="A192">
        <v>5</v>
      </c>
      <c r="B192" s="2">
        <v>2015</v>
      </c>
      <c r="C192">
        <v>10</v>
      </c>
      <c r="D192" t="s">
        <v>174</v>
      </c>
      <c r="E192" t="s">
        <v>348</v>
      </c>
      <c r="F192" t="s">
        <v>41</v>
      </c>
      <c r="G192" t="s">
        <v>10</v>
      </c>
      <c r="H192" s="4">
        <v>2</v>
      </c>
      <c r="I192" t="str">
        <f t="shared" si="2"/>
        <v>Chaetodipterus faberSea Donkey</v>
      </c>
    </row>
    <row r="193" spans="1:9" x14ac:dyDescent="0.35">
      <c r="A193">
        <v>5</v>
      </c>
      <c r="B193" s="2">
        <v>2015</v>
      </c>
      <c r="C193">
        <v>10</v>
      </c>
      <c r="D193" t="s">
        <v>174</v>
      </c>
      <c r="E193" t="s">
        <v>348</v>
      </c>
      <c r="F193" t="s">
        <v>41</v>
      </c>
      <c r="G193" t="s">
        <v>10</v>
      </c>
      <c r="H193" s="4">
        <v>4</v>
      </c>
      <c r="I193" t="str">
        <f t="shared" si="2"/>
        <v>Chaetodipterus faberSea Donkey</v>
      </c>
    </row>
    <row r="194" spans="1:9" x14ac:dyDescent="0.35">
      <c r="A194">
        <v>5</v>
      </c>
      <c r="B194" s="2">
        <v>2015</v>
      </c>
      <c r="C194">
        <v>10</v>
      </c>
      <c r="D194" t="s">
        <v>174</v>
      </c>
      <c r="E194" t="s">
        <v>348</v>
      </c>
      <c r="F194" t="s">
        <v>41</v>
      </c>
      <c r="G194" t="s">
        <v>10</v>
      </c>
      <c r="H194" s="4">
        <v>4</v>
      </c>
      <c r="I194" t="str">
        <f t="shared" si="2"/>
        <v>Chaetodipterus faberSea Donkey</v>
      </c>
    </row>
    <row r="195" spans="1:9" x14ac:dyDescent="0.35">
      <c r="A195">
        <v>5</v>
      </c>
      <c r="B195" s="2">
        <v>2015</v>
      </c>
      <c r="C195">
        <v>10</v>
      </c>
      <c r="D195" t="s">
        <v>174</v>
      </c>
      <c r="E195" t="s">
        <v>348</v>
      </c>
      <c r="F195" t="s">
        <v>41</v>
      </c>
      <c r="G195" t="s">
        <v>10</v>
      </c>
      <c r="H195" s="4">
        <v>4</v>
      </c>
      <c r="I195" t="str">
        <f t="shared" ref="I195:I258" si="3">CONCATENATE(F195,G195)</f>
        <v>Chaetodipterus faberSea Donkey</v>
      </c>
    </row>
    <row r="196" spans="1:9" x14ac:dyDescent="0.35">
      <c r="A196">
        <v>5</v>
      </c>
      <c r="B196" s="2">
        <v>2015</v>
      </c>
      <c r="C196">
        <v>10</v>
      </c>
      <c r="D196" t="s">
        <v>174</v>
      </c>
      <c r="E196" t="s">
        <v>348</v>
      </c>
      <c r="F196" t="s">
        <v>41</v>
      </c>
      <c r="G196" t="s">
        <v>10</v>
      </c>
      <c r="H196" s="4">
        <v>4</v>
      </c>
      <c r="I196" t="str">
        <f t="shared" si="3"/>
        <v>Chaetodipterus faberSea Donkey</v>
      </c>
    </row>
    <row r="197" spans="1:9" x14ac:dyDescent="0.35">
      <c r="A197">
        <v>5</v>
      </c>
      <c r="B197" s="2">
        <v>2015</v>
      </c>
      <c r="C197">
        <v>10</v>
      </c>
      <c r="D197" t="s">
        <v>174</v>
      </c>
      <c r="E197" t="s">
        <v>348</v>
      </c>
      <c r="F197" t="s">
        <v>41</v>
      </c>
      <c r="G197" t="s">
        <v>10</v>
      </c>
      <c r="H197" s="4">
        <v>4</v>
      </c>
      <c r="I197" t="str">
        <f t="shared" si="3"/>
        <v>Chaetodipterus faberSea Donkey</v>
      </c>
    </row>
    <row r="198" spans="1:9" x14ac:dyDescent="0.35">
      <c r="A198">
        <v>5</v>
      </c>
      <c r="B198" s="2">
        <v>2015</v>
      </c>
      <c r="C198">
        <v>10</v>
      </c>
      <c r="D198" t="s">
        <v>174</v>
      </c>
      <c r="E198" t="s">
        <v>348</v>
      </c>
      <c r="F198" t="s">
        <v>41</v>
      </c>
      <c r="G198" t="s">
        <v>10</v>
      </c>
      <c r="H198" s="4">
        <v>3</v>
      </c>
      <c r="I198" t="str">
        <f t="shared" si="3"/>
        <v>Chaetodipterus faberSea Donkey</v>
      </c>
    </row>
    <row r="199" spans="1:9" x14ac:dyDescent="0.35">
      <c r="A199">
        <v>5</v>
      </c>
      <c r="B199" s="2">
        <v>2015</v>
      </c>
      <c r="C199">
        <v>10</v>
      </c>
      <c r="D199" t="s">
        <v>174</v>
      </c>
      <c r="E199" t="s">
        <v>348</v>
      </c>
      <c r="F199" t="s">
        <v>41</v>
      </c>
      <c r="G199" t="s">
        <v>10</v>
      </c>
      <c r="H199" s="4">
        <v>4</v>
      </c>
      <c r="I199" t="str">
        <f t="shared" si="3"/>
        <v>Chaetodipterus faberSea Donkey</v>
      </c>
    </row>
    <row r="200" spans="1:9" x14ac:dyDescent="0.35">
      <c r="A200">
        <v>5</v>
      </c>
      <c r="B200" s="2">
        <v>2015</v>
      </c>
      <c r="C200">
        <v>10</v>
      </c>
      <c r="D200" t="s">
        <v>174</v>
      </c>
      <c r="E200" t="s">
        <v>348</v>
      </c>
      <c r="F200" t="s">
        <v>43</v>
      </c>
      <c r="G200" t="s">
        <v>57</v>
      </c>
      <c r="H200" s="4">
        <v>26</v>
      </c>
      <c r="I200" t="str">
        <f t="shared" si="3"/>
        <v>Cynoscion virescensSeatrout</v>
      </c>
    </row>
    <row r="201" spans="1:9" x14ac:dyDescent="0.35">
      <c r="A201">
        <v>5</v>
      </c>
      <c r="B201" s="2">
        <v>2015</v>
      </c>
      <c r="C201">
        <v>10</v>
      </c>
      <c r="D201" t="s">
        <v>174</v>
      </c>
      <c r="E201" t="s">
        <v>348</v>
      </c>
      <c r="F201" t="s">
        <v>43</v>
      </c>
      <c r="G201" t="s">
        <v>57</v>
      </c>
      <c r="H201" s="4">
        <v>20</v>
      </c>
      <c r="I201" t="str">
        <f t="shared" si="3"/>
        <v>Cynoscion virescensSeatrout</v>
      </c>
    </row>
    <row r="202" spans="1:9" x14ac:dyDescent="0.35">
      <c r="A202">
        <v>5</v>
      </c>
      <c r="B202" s="2">
        <v>2015</v>
      </c>
      <c r="C202">
        <v>10</v>
      </c>
      <c r="D202" t="s">
        <v>174</v>
      </c>
      <c r="E202" t="s">
        <v>348</v>
      </c>
      <c r="F202" t="s">
        <v>43</v>
      </c>
      <c r="G202" t="s">
        <v>57</v>
      </c>
      <c r="H202" s="4">
        <v>14</v>
      </c>
      <c r="I202" t="str">
        <f t="shared" si="3"/>
        <v>Cynoscion virescensSeatrout</v>
      </c>
    </row>
    <row r="203" spans="1:9" x14ac:dyDescent="0.35">
      <c r="A203">
        <v>5</v>
      </c>
      <c r="B203" s="2">
        <v>2015</v>
      </c>
      <c r="C203">
        <v>10</v>
      </c>
      <c r="D203" t="s">
        <v>174</v>
      </c>
      <c r="E203" t="s">
        <v>348</v>
      </c>
      <c r="F203" t="s">
        <v>43</v>
      </c>
      <c r="G203" t="s">
        <v>57</v>
      </c>
      <c r="H203" s="4">
        <v>12</v>
      </c>
      <c r="I203" t="str">
        <f t="shared" si="3"/>
        <v>Cynoscion virescensSeatrout</v>
      </c>
    </row>
    <row r="204" spans="1:9" x14ac:dyDescent="0.35">
      <c r="A204">
        <v>5</v>
      </c>
      <c r="B204" s="2">
        <v>2015</v>
      </c>
      <c r="C204">
        <v>10</v>
      </c>
      <c r="D204" t="s">
        <v>174</v>
      </c>
      <c r="E204" t="s">
        <v>348</v>
      </c>
      <c r="F204" t="s">
        <v>43</v>
      </c>
      <c r="G204" t="s">
        <v>57</v>
      </c>
      <c r="H204" s="4">
        <v>12</v>
      </c>
      <c r="I204" t="str">
        <f t="shared" si="3"/>
        <v>Cynoscion virescensSeatrout</v>
      </c>
    </row>
    <row r="205" spans="1:9" x14ac:dyDescent="0.35">
      <c r="A205">
        <v>5</v>
      </c>
      <c r="B205" s="2">
        <v>2015</v>
      </c>
      <c r="C205">
        <v>10</v>
      </c>
      <c r="D205" t="s">
        <v>174</v>
      </c>
      <c r="E205" t="s">
        <v>348</v>
      </c>
      <c r="F205" t="s">
        <v>43</v>
      </c>
      <c r="G205" t="s">
        <v>57</v>
      </c>
      <c r="H205" s="4">
        <v>10</v>
      </c>
      <c r="I205" t="str">
        <f t="shared" si="3"/>
        <v>Cynoscion virescensSeatrout</v>
      </c>
    </row>
    <row r="206" spans="1:9" x14ac:dyDescent="0.35">
      <c r="A206">
        <v>5</v>
      </c>
      <c r="B206" s="2">
        <v>2015</v>
      </c>
      <c r="C206">
        <v>10</v>
      </c>
      <c r="D206" t="s">
        <v>174</v>
      </c>
      <c r="E206" t="s">
        <v>348</v>
      </c>
      <c r="F206" t="s">
        <v>43</v>
      </c>
      <c r="G206" t="s">
        <v>57</v>
      </c>
      <c r="H206" s="4">
        <v>9</v>
      </c>
      <c r="I206" t="str">
        <f t="shared" si="3"/>
        <v>Cynoscion virescensSeatrout</v>
      </c>
    </row>
    <row r="207" spans="1:9" x14ac:dyDescent="0.35">
      <c r="A207">
        <v>5</v>
      </c>
      <c r="B207" s="2">
        <v>2015</v>
      </c>
      <c r="C207">
        <v>10</v>
      </c>
      <c r="D207" t="s">
        <v>174</v>
      </c>
      <c r="E207" t="s">
        <v>348</v>
      </c>
      <c r="F207" t="s">
        <v>350</v>
      </c>
      <c r="G207" t="s">
        <v>12</v>
      </c>
      <c r="H207" s="4">
        <v>12</v>
      </c>
      <c r="I207" t="str">
        <f t="shared" si="3"/>
        <v>Batrachoides  surinamensisPacu</v>
      </c>
    </row>
    <row r="208" spans="1:9" x14ac:dyDescent="0.35">
      <c r="A208">
        <v>5</v>
      </c>
      <c r="B208" s="2">
        <v>2015</v>
      </c>
      <c r="C208">
        <v>10</v>
      </c>
      <c r="D208" t="s">
        <v>174</v>
      </c>
      <c r="E208" t="s">
        <v>348</v>
      </c>
      <c r="F208" t="s">
        <v>350</v>
      </c>
      <c r="G208" t="s">
        <v>12</v>
      </c>
      <c r="H208" s="4">
        <v>13</v>
      </c>
      <c r="I208" t="str">
        <f t="shared" si="3"/>
        <v>Batrachoides  surinamensisPacu</v>
      </c>
    </row>
    <row r="209" spans="1:9" x14ac:dyDescent="0.35">
      <c r="A209">
        <v>5</v>
      </c>
      <c r="B209" s="2">
        <v>2015</v>
      </c>
      <c r="C209">
        <v>10</v>
      </c>
      <c r="D209" t="s">
        <v>174</v>
      </c>
      <c r="E209" t="s">
        <v>348</v>
      </c>
      <c r="F209" t="s">
        <v>350</v>
      </c>
      <c r="G209" t="s">
        <v>12</v>
      </c>
      <c r="H209" s="4">
        <v>11</v>
      </c>
      <c r="I209" t="str">
        <f t="shared" si="3"/>
        <v>Batrachoides  surinamensisPacu</v>
      </c>
    </row>
    <row r="210" spans="1:9" x14ac:dyDescent="0.35">
      <c r="A210">
        <v>5</v>
      </c>
      <c r="B210" s="2">
        <v>2015</v>
      </c>
      <c r="C210">
        <v>10</v>
      </c>
      <c r="D210" t="s">
        <v>174</v>
      </c>
      <c r="E210" t="s">
        <v>348</v>
      </c>
      <c r="F210" t="s">
        <v>283</v>
      </c>
      <c r="G210" t="s">
        <v>284</v>
      </c>
      <c r="H210" s="4">
        <v>14</v>
      </c>
      <c r="I210" t="str">
        <f t="shared" si="3"/>
        <v>Paralonchurus braziliensisBanded croaker</v>
      </c>
    </row>
    <row r="211" spans="1:9" x14ac:dyDescent="0.35">
      <c r="A211">
        <v>5</v>
      </c>
      <c r="B211" s="2">
        <v>2015</v>
      </c>
      <c r="C211">
        <v>10</v>
      </c>
      <c r="D211" t="s">
        <v>174</v>
      </c>
      <c r="E211" t="s">
        <v>348</v>
      </c>
      <c r="F211" t="s">
        <v>283</v>
      </c>
      <c r="G211" t="s">
        <v>284</v>
      </c>
      <c r="H211" s="4">
        <v>20</v>
      </c>
      <c r="I211" t="str">
        <f t="shared" si="3"/>
        <v>Paralonchurus braziliensisBanded croaker</v>
      </c>
    </row>
    <row r="212" spans="1:9" x14ac:dyDescent="0.35">
      <c r="A212">
        <v>5</v>
      </c>
      <c r="B212" s="2">
        <v>2015</v>
      </c>
      <c r="C212">
        <v>10</v>
      </c>
      <c r="D212" t="s">
        <v>174</v>
      </c>
      <c r="E212" t="s">
        <v>348</v>
      </c>
      <c r="F212" t="s">
        <v>283</v>
      </c>
      <c r="G212" t="s">
        <v>284</v>
      </c>
      <c r="H212" s="4">
        <v>11</v>
      </c>
      <c r="I212" t="str">
        <f t="shared" si="3"/>
        <v>Paralonchurus braziliensisBanded croaker</v>
      </c>
    </row>
    <row r="213" spans="1:9" x14ac:dyDescent="0.35">
      <c r="A213">
        <v>5</v>
      </c>
      <c r="B213" s="2">
        <v>2015</v>
      </c>
      <c r="C213">
        <v>10</v>
      </c>
      <c r="D213" t="s">
        <v>174</v>
      </c>
      <c r="E213" t="s">
        <v>348</v>
      </c>
      <c r="F213" t="s">
        <v>283</v>
      </c>
      <c r="G213" t="s">
        <v>284</v>
      </c>
      <c r="H213" s="4">
        <v>12</v>
      </c>
      <c r="I213" t="str">
        <f t="shared" si="3"/>
        <v>Paralonchurus braziliensisBanded croaker</v>
      </c>
    </row>
    <row r="214" spans="1:9" x14ac:dyDescent="0.35">
      <c r="A214">
        <v>5</v>
      </c>
      <c r="B214" s="2">
        <v>2015</v>
      </c>
      <c r="C214">
        <v>10</v>
      </c>
      <c r="D214" t="s">
        <v>174</v>
      </c>
      <c r="E214" t="s">
        <v>348</v>
      </c>
      <c r="F214" t="s">
        <v>283</v>
      </c>
      <c r="G214" t="s">
        <v>284</v>
      </c>
      <c r="H214" s="4">
        <v>12</v>
      </c>
      <c r="I214" t="str">
        <f t="shared" si="3"/>
        <v>Paralonchurus braziliensisBanded croaker</v>
      </c>
    </row>
    <row r="215" spans="1:9" x14ac:dyDescent="0.35">
      <c r="A215">
        <v>5</v>
      </c>
      <c r="B215" s="2">
        <v>2015</v>
      </c>
      <c r="C215">
        <v>10</v>
      </c>
      <c r="D215" t="s">
        <v>174</v>
      </c>
      <c r="E215" t="s">
        <v>348</v>
      </c>
      <c r="F215" t="s">
        <v>283</v>
      </c>
      <c r="G215" t="s">
        <v>284</v>
      </c>
      <c r="H215" s="4">
        <v>11</v>
      </c>
      <c r="I215" t="str">
        <f t="shared" si="3"/>
        <v>Paralonchurus braziliensisBanded croaker</v>
      </c>
    </row>
    <row r="216" spans="1:9" x14ac:dyDescent="0.35">
      <c r="A216">
        <v>5</v>
      </c>
      <c r="B216" s="2">
        <v>2015</v>
      </c>
      <c r="C216">
        <v>10</v>
      </c>
      <c r="D216" t="s">
        <v>174</v>
      </c>
      <c r="E216" t="s">
        <v>348</v>
      </c>
      <c r="F216" t="s">
        <v>283</v>
      </c>
      <c r="G216" t="s">
        <v>284</v>
      </c>
      <c r="H216" s="4">
        <v>10</v>
      </c>
      <c r="I216" t="str">
        <f t="shared" si="3"/>
        <v>Paralonchurus braziliensisBanded croaker</v>
      </c>
    </row>
    <row r="217" spans="1:9" x14ac:dyDescent="0.35">
      <c r="A217">
        <v>5</v>
      </c>
      <c r="B217" s="2">
        <v>2015</v>
      </c>
      <c r="C217">
        <v>10</v>
      </c>
      <c r="D217" t="s">
        <v>174</v>
      </c>
      <c r="E217" t="s">
        <v>348</v>
      </c>
      <c r="F217" t="s">
        <v>283</v>
      </c>
      <c r="G217" t="s">
        <v>284</v>
      </c>
      <c r="H217" s="4">
        <v>11</v>
      </c>
      <c r="I217" t="str">
        <f t="shared" si="3"/>
        <v>Paralonchurus braziliensisBanded croaker</v>
      </c>
    </row>
    <row r="218" spans="1:9" x14ac:dyDescent="0.35">
      <c r="A218">
        <v>5</v>
      </c>
      <c r="B218" s="2">
        <v>2015</v>
      </c>
      <c r="C218">
        <v>10</v>
      </c>
      <c r="D218" t="s">
        <v>174</v>
      </c>
      <c r="E218" t="s">
        <v>348</v>
      </c>
      <c r="F218" t="s">
        <v>283</v>
      </c>
      <c r="G218" t="s">
        <v>284</v>
      </c>
      <c r="H218" s="4">
        <v>13</v>
      </c>
      <c r="I218" t="str">
        <f t="shared" si="3"/>
        <v>Paralonchurus braziliensisBanded croaker</v>
      </c>
    </row>
    <row r="219" spans="1:9" x14ac:dyDescent="0.35">
      <c r="A219">
        <v>5</v>
      </c>
      <c r="B219" s="2">
        <v>2015</v>
      </c>
      <c r="C219">
        <v>10</v>
      </c>
      <c r="D219" t="s">
        <v>174</v>
      </c>
      <c r="E219" t="s">
        <v>348</v>
      </c>
      <c r="F219" t="s">
        <v>283</v>
      </c>
      <c r="G219" t="s">
        <v>284</v>
      </c>
      <c r="H219" s="4">
        <v>9</v>
      </c>
      <c r="I219" t="str">
        <f t="shared" si="3"/>
        <v>Paralonchurus braziliensisBanded croaker</v>
      </c>
    </row>
    <row r="220" spans="1:9" x14ac:dyDescent="0.35">
      <c r="A220">
        <v>5</v>
      </c>
      <c r="B220" s="2">
        <v>2015</v>
      </c>
      <c r="C220">
        <v>10</v>
      </c>
      <c r="D220" t="s">
        <v>174</v>
      </c>
      <c r="E220" t="s">
        <v>348</v>
      </c>
      <c r="F220" t="s">
        <v>49</v>
      </c>
      <c r="G220" t="s">
        <v>354</v>
      </c>
      <c r="H220" s="4">
        <v>9</v>
      </c>
      <c r="I220" t="str">
        <f t="shared" si="3"/>
        <v>Polydactylus virginicusBeard fish</v>
      </c>
    </row>
    <row r="221" spans="1:9" x14ac:dyDescent="0.35">
      <c r="A221">
        <v>5</v>
      </c>
      <c r="B221" s="2">
        <v>2015</v>
      </c>
      <c r="C221">
        <v>10</v>
      </c>
      <c r="D221" t="s">
        <v>174</v>
      </c>
      <c r="E221" t="s">
        <v>348</v>
      </c>
      <c r="F221" t="s">
        <v>15</v>
      </c>
      <c r="G221" t="s">
        <v>16</v>
      </c>
      <c r="H221" s="4">
        <v>6</v>
      </c>
      <c r="I221" t="str">
        <f t="shared" si="3"/>
        <v>Nebris micropsButterfish</v>
      </c>
    </row>
    <row r="222" spans="1:9" x14ac:dyDescent="0.35">
      <c r="A222">
        <v>5</v>
      </c>
      <c r="B222" s="2">
        <v>2015</v>
      </c>
      <c r="C222">
        <v>10</v>
      </c>
      <c r="D222" t="s">
        <v>174</v>
      </c>
      <c r="E222" t="s">
        <v>348</v>
      </c>
      <c r="F222" t="s">
        <v>15</v>
      </c>
      <c r="G222" t="s">
        <v>16</v>
      </c>
      <c r="H222" s="4">
        <v>7</v>
      </c>
      <c r="I222" t="str">
        <f t="shared" si="3"/>
        <v>Nebris micropsButterfish</v>
      </c>
    </row>
    <row r="223" spans="1:9" x14ac:dyDescent="0.35">
      <c r="A223">
        <v>5</v>
      </c>
      <c r="B223" s="2">
        <v>2015</v>
      </c>
      <c r="C223">
        <v>10</v>
      </c>
      <c r="D223" t="s">
        <v>174</v>
      </c>
      <c r="E223" t="s">
        <v>348</v>
      </c>
      <c r="F223" t="s">
        <v>15</v>
      </c>
      <c r="G223" t="s">
        <v>16</v>
      </c>
      <c r="H223" s="4">
        <v>5</v>
      </c>
      <c r="I223" t="str">
        <f t="shared" si="3"/>
        <v>Nebris micropsButterfish</v>
      </c>
    </row>
    <row r="224" spans="1:9" x14ac:dyDescent="0.35">
      <c r="A224">
        <v>5</v>
      </c>
      <c r="B224" s="2">
        <v>2015</v>
      </c>
      <c r="C224">
        <v>10</v>
      </c>
      <c r="D224" t="s">
        <v>174</v>
      </c>
      <c r="E224" t="s">
        <v>348</v>
      </c>
      <c r="F224" t="s">
        <v>15</v>
      </c>
      <c r="G224" t="s">
        <v>16</v>
      </c>
      <c r="H224" s="4">
        <v>6</v>
      </c>
      <c r="I224" t="str">
        <f t="shared" si="3"/>
        <v>Nebris micropsButterfish</v>
      </c>
    </row>
    <row r="225" spans="1:9" x14ac:dyDescent="0.35">
      <c r="A225">
        <v>5</v>
      </c>
      <c r="B225" s="2">
        <v>2015</v>
      </c>
      <c r="C225">
        <v>10</v>
      </c>
      <c r="D225" t="s">
        <v>174</v>
      </c>
      <c r="E225" t="s">
        <v>348</v>
      </c>
      <c r="F225" t="s">
        <v>15</v>
      </c>
      <c r="G225" t="s">
        <v>16</v>
      </c>
      <c r="H225" s="4">
        <v>6</v>
      </c>
      <c r="I225" t="str">
        <f t="shared" si="3"/>
        <v>Nebris micropsButterfish</v>
      </c>
    </row>
    <row r="226" spans="1:9" x14ac:dyDescent="0.35">
      <c r="A226">
        <v>5</v>
      </c>
      <c r="B226" s="2">
        <v>2015</v>
      </c>
      <c r="C226">
        <v>10</v>
      </c>
      <c r="D226" t="s">
        <v>174</v>
      </c>
      <c r="E226" t="s">
        <v>348</v>
      </c>
      <c r="F226" t="s">
        <v>17</v>
      </c>
      <c r="G226" t="s">
        <v>34</v>
      </c>
      <c r="H226" s="4">
        <v>11</v>
      </c>
      <c r="I226" t="str">
        <f t="shared" si="3"/>
        <v>Larimus brevicepsSilver Snapper</v>
      </c>
    </row>
    <row r="227" spans="1:9" x14ac:dyDescent="0.35">
      <c r="A227">
        <v>5</v>
      </c>
      <c r="B227" s="2">
        <v>2015</v>
      </c>
      <c r="C227">
        <v>10</v>
      </c>
      <c r="D227" t="s">
        <v>174</v>
      </c>
      <c r="E227" t="s">
        <v>348</v>
      </c>
      <c r="F227" t="s">
        <v>17</v>
      </c>
      <c r="G227" t="s">
        <v>34</v>
      </c>
      <c r="H227" s="4">
        <v>11</v>
      </c>
      <c r="I227" t="str">
        <f t="shared" si="3"/>
        <v>Larimus brevicepsSilver Snapper</v>
      </c>
    </row>
    <row r="228" spans="1:9" x14ac:dyDescent="0.35">
      <c r="A228">
        <v>5</v>
      </c>
      <c r="B228" s="2">
        <v>2015</v>
      </c>
      <c r="C228">
        <v>10</v>
      </c>
      <c r="D228" t="s">
        <v>174</v>
      </c>
      <c r="E228" t="s">
        <v>348</v>
      </c>
      <c r="F228" t="s">
        <v>40</v>
      </c>
      <c r="G228" t="s">
        <v>35</v>
      </c>
      <c r="H228" s="4">
        <v>6</v>
      </c>
      <c r="I228" t="str">
        <f t="shared" si="3"/>
        <v>Macrodon ancylodonBangamary</v>
      </c>
    </row>
    <row r="229" spans="1:9" x14ac:dyDescent="0.35">
      <c r="A229">
        <v>5</v>
      </c>
      <c r="B229" s="2">
        <v>2015</v>
      </c>
      <c r="C229">
        <v>10</v>
      </c>
      <c r="D229" t="s">
        <v>174</v>
      </c>
      <c r="E229" t="s">
        <v>348</v>
      </c>
      <c r="F229" t="s">
        <v>40</v>
      </c>
      <c r="G229" t="s">
        <v>35</v>
      </c>
      <c r="H229" s="4">
        <v>21</v>
      </c>
      <c r="I229" t="str">
        <f t="shared" si="3"/>
        <v>Macrodon ancylodonBangamary</v>
      </c>
    </row>
    <row r="230" spans="1:9" x14ac:dyDescent="0.35">
      <c r="A230">
        <v>5</v>
      </c>
      <c r="B230" s="2">
        <v>2015</v>
      </c>
      <c r="C230">
        <v>10</v>
      </c>
      <c r="D230" t="s">
        <v>174</v>
      </c>
      <c r="E230" t="s">
        <v>348</v>
      </c>
      <c r="F230" t="s">
        <v>40</v>
      </c>
      <c r="G230" t="s">
        <v>35</v>
      </c>
      <c r="H230" s="4">
        <v>18</v>
      </c>
      <c r="I230" t="str">
        <f t="shared" si="3"/>
        <v>Macrodon ancylodonBangamary</v>
      </c>
    </row>
    <row r="231" spans="1:9" x14ac:dyDescent="0.35">
      <c r="A231">
        <v>5</v>
      </c>
      <c r="B231" s="2">
        <v>2015</v>
      </c>
      <c r="C231">
        <v>10</v>
      </c>
      <c r="D231" t="s">
        <v>174</v>
      </c>
      <c r="E231" t="s">
        <v>348</v>
      </c>
      <c r="F231" t="s">
        <v>40</v>
      </c>
      <c r="G231" t="s">
        <v>35</v>
      </c>
      <c r="H231" s="4">
        <v>17</v>
      </c>
      <c r="I231" t="str">
        <f t="shared" si="3"/>
        <v>Macrodon ancylodonBangamary</v>
      </c>
    </row>
    <row r="232" spans="1:9" x14ac:dyDescent="0.35">
      <c r="A232">
        <v>5</v>
      </c>
      <c r="B232" s="2">
        <v>2015</v>
      </c>
      <c r="C232">
        <v>10</v>
      </c>
      <c r="D232" t="s">
        <v>174</v>
      </c>
      <c r="E232" t="s">
        <v>348</v>
      </c>
      <c r="F232" t="s">
        <v>40</v>
      </c>
      <c r="G232" t="s">
        <v>35</v>
      </c>
      <c r="H232" s="4">
        <v>12</v>
      </c>
      <c r="I232" t="str">
        <f t="shared" si="3"/>
        <v>Macrodon ancylodonBangamary</v>
      </c>
    </row>
    <row r="233" spans="1:9" x14ac:dyDescent="0.35">
      <c r="A233">
        <v>5</v>
      </c>
      <c r="B233" s="2">
        <v>2015</v>
      </c>
      <c r="C233">
        <v>10</v>
      </c>
      <c r="D233" t="s">
        <v>174</v>
      </c>
      <c r="E233" t="s">
        <v>348</v>
      </c>
      <c r="F233" t="s">
        <v>40</v>
      </c>
      <c r="G233" t="s">
        <v>35</v>
      </c>
      <c r="H233" s="4">
        <v>10</v>
      </c>
      <c r="I233" t="str">
        <f t="shared" si="3"/>
        <v>Macrodon ancylodonBangamary</v>
      </c>
    </row>
    <row r="234" spans="1:9" x14ac:dyDescent="0.35">
      <c r="A234">
        <v>5</v>
      </c>
      <c r="B234" s="2">
        <v>2015</v>
      </c>
      <c r="C234">
        <v>10</v>
      </c>
      <c r="D234" t="s">
        <v>174</v>
      </c>
      <c r="E234" t="s">
        <v>348</v>
      </c>
      <c r="F234" t="s">
        <v>40</v>
      </c>
      <c r="G234" t="s">
        <v>35</v>
      </c>
      <c r="H234" s="4">
        <v>11</v>
      </c>
      <c r="I234" t="str">
        <f t="shared" si="3"/>
        <v>Macrodon ancylodonBangamary</v>
      </c>
    </row>
    <row r="235" spans="1:9" x14ac:dyDescent="0.35">
      <c r="A235">
        <v>5</v>
      </c>
      <c r="B235" s="2">
        <v>2015</v>
      </c>
      <c r="C235">
        <v>10</v>
      </c>
      <c r="D235" t="s">
        <v>174</v>
      </c>
      <c r="E235" t="s">
        <v>348</v>
      </c>
      <c r="F235" t="s">
        <v>40</v>
      </c>
      <c r="G235" t="s">
        <v>35</v>
      </c>
      <c r="H235" s="4">
        <v>8</v>
      </c>
      <c r="I235" t="str">
        <f t="shared" si="3"/>
        <v>Macrodon ancylodonBangamary</v>
      </c>
    </row>
    <row r="236" spans="1:9" x14ac:dyDescent="0.35">
      <c r="A236">
        <v>5</v>
      </c>
      <c r="B236" s="2">
        <v>2015</v>
      </c>
      <c r="C236">
        <v>10</v>
      </c>
      <c r="D236" t="s">
        <v>174</v>
      </c>
      <c r="E236" t="s">
        <v>348</v>
      </c>
      <c r="F236" t="s">
        <v>40</v>
      </c>
      <c r="G236" t="s">
        <v>35</v>
      </c>
      <c r="H236" s="4">
        <v>7</v>
      </c>
      <c r="I236" t="str">
        <f t="shared" si="3"/>
        <v>Macrodon ancylodonBangamary</v>
      </c>
    </row>
    <row r="237" spans="1:9" x14ac:dyDescent="0.35">
      <c r="A237">
        <v>5</v>
      </c>
      <c r="B237" s="2">
        <v>2015</v>
      </c>
      <c r="C237">
        <v>10</v>
      </c>
      <c r="D237" t="s">
        <v>174</v>
      </c>
      <c r="E237" t="s">
        <v>348</v>
      </c>
      <c r="F237" t="s">
        <v>40</v>
      </c>
      <c r="G237" t="s">
        <v>35</v>
      </c>
      <c r="H237" s="4">
        <v>8</v>
      </c>
      <c r="I237" t="str">
        <f t="shared" si="3"/>
        <v>Macrodon ancylodonBangamary</v>
      </c>
    </row>
    <row r="238" spans="1:9" x14ac:dyDescent="0.35">
      <c r="A238">
        <v>5</v>
      </c>
      <c r="B238" s="2">
        <v>2015</v>
      </c>
      <c r="C238">
        <v>10</v>
      </c>
      <c r="D238" t="s">
        <v>174</v>
      </c>
      <c r="E238" t="s">
        <v>348</v>
      </c>
      <c r="F238" t="s">
        <v>18</v>
      </c>
      <c r="G238" t="s">
        <v>81</v>
      </c>
      <c r="H238" s="4">
        <v>10</v>
      </c>
      <c r="I238" t="str">
        <f t="shared" si="3"/>
        <v>Genyatremus leteusAnnafolk</v>
      </c>
    </row>
    <row r="239" spans="1:9" x14ac:dyDescent="0.35">
      <c r="A239">
        <v>5</v>
      </c>
      <c r="B239" s="2">
        <v>2015</v>
      </c>
      <c r="C239">
        <v>10</v>
      </c>
      <c r="D239" t="s">
        <v>174</v>
      </c>
      <c r="E239" t="s">
        <v>348</v>
      </c>
      <c r="F239" t="s">
        <v>121</v>
      </c>
      <c r="G239" t="s">
        <v>44</v>
      </c>
      <c r="H239" s="4">
        <v>14</v>
      </c>
      <c r="I239" t="str">
        <f t="shared" si="3"/>
        <v>Anchoa mitchilliNegli</v>
      </c>
    </row>
    <row r="240" spans="1:9" x14ac:dyDescent="0.35">
      <c r="A240">
        <v>5</v>
      </c>
      <c r="B240" s="2">
        <v>2015</v>
      </c>
      <c r="C240">
        <v>10</v>
      </c>
      <c r="D240" t="s">
        <v>174</v>
      </c>
      <c r="E240" t="s">
        <v>348</v>
      </c>
      <c r="F240" t="s">
        <v>121</v>
      </c>
      <c r="G240" t="s">
        <v>44</v>
      </c>
      <c r="H240" s="4">
        <v>15</v>
      </c>
      <c r="I240" t="str">
        <f t="shared" si="3"/>
        <v>Anchoa mitchilliNegli</v>
      </c>
    </row>
    <row r="241" spans="1:9" x14ac:dyDescent="0.35">
      <c r="A241">
        <v>5</v>
      </c>
      <c r="B241" s="2">
        <v>2015</v>
      </c>
      <c r="C241">
        <v>10</v>
      </c>
      <c r="D241" t="s">
        <v>174</v>
      </c>
      <c r="E241" t="s">
        <v>348</v>
      </c>
      <c r="F241" t="s">
        <v>121</v>
      </c>
      <c r="G241" t="s">
        <v>44</v>
      </c>
      <c r="H241" s="4">
        <v>10</v>
      </c>
      <c r="I241" t="str">
        <f t="shared" si="3"/>
        <v>Anchoa mitchilliNegli</v>
      </c>
    </row>
    <row r="242" spans="1:9" x14ac:dyDescent="0.35">
      <c r="A242">
        <v>5</v>
      </c>
      <c r="B242" s="2">
        <v>2015</v>
      </c>
      <c r="C242">
        <v>10</v>
      </c>
      <c r="D242" t="s">
        <v>174</v>
      </c>
      <c r="E242" t="s">
        <v>348</v>
      </c>
      <c r="F242" t="s">
        <v>121</v>
      </c>
      <c r="G242" t="s">
        <v>44</v>
      </c>
      <c r="H242" s="4">
        <v>5</v>
      </c>
      <c r="I242" t="str">
        <f t="shared" si="3"/>
        <v>Anchoa mitchilliNegli</v>
      </c>
    </row>
    <row r="243" spans="1:9" x14ac:dyDescent="0.35">
      <c r="A243">
        <v>5</v>
      </c>
      <c r="B243" s="2">
        <v>2015</v>
      </c>
      <c r="C243">
        <v>10</v>
      </c>
      <c r="D243" t="s">
        <v>174</v>
      </c>
      <c r="E243" t="s">
        <v>348</v>
      </c>
      <c r="F243" t="s">
        <v>121</v>
      </c>
      <c r="G243" t="s">
        <v>44</v>
      </c>
      <c r="H243" s="4">
        <v>6</v>
      </c>
      <c r="I243" t="str">
        <f t="shared" si="3"/>
        <v>Anchoa mitchilliNegli</v>
      </c>
    </row>
    <row r="244" spans="1:9" x14ac:dyDescent="0.35">
      <c r="A244">
        <v>5</v>
      </c>
      <c r="B244" s="2">
        <v>2015</v>
      </c>
      <c r="C244">
        <v>10</v>
      </c>
      <c r="D244" t="s">
        <v>174</v>
      </c>
      <c r="E244" t="s">
        <v>348</v>
      </c>
      <c r="F244" t="s">
        <v>121</v>
      </c>
      <c r="G244" t="s">
        <v>44</v>
      </c>
      <c r="H244" s="4">
        <v>6</v>
      </c>
      <c r="I244" t="str">
        <f t="shared" si="3"/>
        <v>Anchoa mitchilliNegli</v>
      </c>
    </row>
    <row r="245" spans="1:9" x14ac:dyDescent="0.35">
      <c r="A245">
        <v>5</v>
      </c>
      <c r="B245" s="2">
        <v>2015</v>
      </c>
      <c r="C245">
        <v>10</v>
      </c>
      <c r="D245" t="s">
        <v>174</v>
      </c>
      <c r="E245" t="s">
        <v>348</v>
      </c>
      <c r="F245" t="s">
        <v>121</v>
      </c>
      <c r="G245" t="s">
        <v>44</v>
      </c>
      <c r="H245" s="4">
        <v>5</v>
      </c>
      <c r="I245" t="str">
        <f t="shared" si="3"/>
        <v>Anchoa mitchilliNegli</v>
      </c>
    </row>
    <row r="246" spans="1:9" x14ac:dyDescent="0.35">
      <c r="A246">
        <v>5</v>
      </c>
      <c r="B246" s="2">
        <v>2015</v>
      </c>
      <c r="C246">
        <v>10</v>
      </c>
      <c r="D246" t="s">
        <v>174</v>
      </c>
      <c r="E246" t="s">
        <v>348</v>
      </c>
      <c r="F246" t="s">
        <v>121</v>
      </c>
      <c r="G246" t="s">
        <v>44</v>
      </c>
      <c r="H246" s="4">
        <v>5</v>
      </c>
      <c r="I246" t="str">
        <f t="shared" si="3"/>
        <v>Anchoa mitchilliNegli</v>
      </c>
    </row>
    <row r="247" spans="1:9" x14ac:dyDescent="0.35">
      <c r="A247">
        <v>5</v>
      </c>
      <c r="B247" s="2">
        <v>2015</v>
      </c>
      <c r="C247">
        <v>10</v>
      </c>
      <c r="D247" t="s">
        <v>174</v>
      </c>
      <c r="E247" t="s">
        <v>348</v>
      </c>
      <c r="F247" t="s">
        <v>121</v>
      </c>
      <c r="G247" t="s">
        <v>44</v>
      </c>
      <c r="H247" s="4">
        <v>5</v>
      </c>
      <c r="I247" t="str">
        <f t="shared" si="3"/>
        <v>Anchoa mitchilliNegli</v>
      </c>
    </row>
    <row r="248" spans="1:9" x14ac:dyDescent="0.35">
      <c r="A248">
        <v>5</v>
      </c>
      <c r="B248" s="2">
        <v>2015</v>
      </c>
      <c r="C248">
        <v>10</v>
      </c>
      <c r="D248" t="s">
        <v>174</v>
      </c>
      <c r="E248" t="s">
        <v>348</v>
      </c>
      <c r="F248" t="s">
        <v>121</v>
      </c>
      <c r="G248" t="s">
        <v>44</v>
      </c>
      <c r="H248" s="4">
        <v>4</v>
      </c>
      <c r="I248" t="str">
        <f t="shared" si="3"/>
        <v>Anchoa mitchilliNegli</v>
      </c>
    </row>
    <row r="249" spans="1:9" x14ac:dyDescent="0.35">
      <c r="A249">
        <v>5</v>
      </c>
      <c r="B249" s="2">
        <v>2015</v>
      </c>
      <c r="C249">
        <v>10</v>
      </c>
      <c r="D249" t="s">
        <v>174</v>
      </c>
      <c r="E249" t="s">
        <v>348</v>
      </c>
      <c r="F249" t="s">
        <v>21</v>
      </c>
      <c r="G249" t="s">
        <v>59</v>
      </c>
      <c r="H249" s="4">
        <v>10</v>
      </c>
      <c r="I249" t="str">
        <f t="shared" si="3"/>
        <v>Stellifer micropsRockhead</v>
      </c>
    </row>
    <row r="250" spans="1:9" x14ac:dyDescent="0.35">
      <c r="A250">
        <v>5</v>
      </c>
      <c r="B250" s="2">
        <v>2015</v>
      </c>
      <c r="C250">
        <v>10</v>
      </c>
      <c r="D250" t="s">
        <v>174</v>
      </c>
      <c r="E250" t="s">
        <v>348</v>
      </c>
      <c r="F250" t="s">
        <v>21</v>
      </c>
      <c r="G250" t="s">
        <v>59</v>
      </c>
      <c r="H250" s="4">
        <v>10</v>
      </c>
      <c r="I250" t="str">
        <f t="shared" si="3"/>
        <v>Stellifer micropsRockhead</v>
      </c>
    </row>
    <row r="251" spans="1:9" x14ac:dyDescent="0.35">
      <c r="A251">
        <v>5</v>
      </c>
      <c r="B251" s="2">
        <v>2015</v>
      </c>
      <c r="C251">
        <v>10</v>
      </c>
      <c r="D251" t="s">
        <v>174</v>
      </c>
      <c r="E251" t="s">
        <v>348</v>
      </c>
      <c r="F251" t="s">
        <v>21</v>
      </c>
      <c r="G251" t="s">
        <v>59</v>
      </c>
      <c r="H251" s="4">
        <v>10</v>
      </c>
      <c r="I251" t="str">
        <f t="shared" si="3"/>
        <v>Stellifer micropsRockhead</v>
      </c>
    </row>
    <row r="252" spans="1:9" x14ac:dyDescent="0.35">
      <c r="A252">
        <v>5</v>
      </c>
      <c r="B252" s="2">
        <v>2015</v>
      </c>
      <c r="C252">
        <v>10</v>
      </c>
      <c r="D252" t="s">
        <v>174</v>
      </c>
      <c r="E252" t="s">
        <v>348</v>
      </c>
      <c r="F252" t="s">
        <v>21</v>
      </c>
      <c r="G252" t="s">
        <v>59</v>
      </c>
      <c r="H252" s="4">
        <v>7</v>
      </c>
      <c r="I252" t="str">
        <f t="shared" si="3"/>
        <v>Stellifer micropsRockhead</v>
      </c>
    </row>
    <row r="253" spans="1:9" x14ac:dyDescent="0.35">
      <c r="A253">
        <v>5</v>
      </c>
      <c r="B253" s="2">
        <v>2015</v>
      </c>
      <c r="C253">
        <v>10</v>
      </c>
      <c r="D253" t="s">
        <v>174</v>
      </c>
      <c r="E253" t="s">
        <v>348</v>
      </c>
      <c r="F253" t="s">
        <v>21</v>
      </c>
      <c r="G253" t="s">
        <v>59</v>
      </c>
      <c r="H253" s="4">
        <v>9</v>
      </c>
      <c r="I253" t="str">
        <f t="shared" si="3"/>
        <v>Stellifer micropsRockhead</v>
      </c>
    </row>
    <row r="254" spans="1:9" x14ac:dyDescent="0.35">
      <c r="A254">
        <v>5</v>
      </c>
      <c r="B254" s="2">
        <v>2015</v>
      </c>
      <c r="C254">
        <v>10</v>
      </c>
      <c r="D254" t="s">
        <v>174</v>
      </c>
      <c r="E254" t="s">
        <v>348</v>
      </c>
      <c r="F254" t="s">
        <v>21</v>
      </c>
      <c r="G254" t="s">
        <v>59</v>
      </c>
      <c r="H254" s="4">
        <v>10</v>
      </c>
      <c r="I254" t="str">
        <f t="shared" si="3"/>
        <v>Stellifer micropsRockhead</v>
      </c>
    </row>
    <row r="255" spans="1:9" x14ac:dyDescent="0.35">
      <c r="A255">
        <v>5</v>
      </c>
      <c r="B255" s="2">
        <v>2015</v>
      </c>
      <c r="C255">
        <v>10</v>
      </c>
      <c r="D255" t="s">
        <v>174</v>
      </c>
      <c r="E255" t="s">
        <v>348</v>
      </c>
      <c r="F255" t="s">
        <v>21</v>
      </c>
      <c r="G255" t="s">
        <v>59</v>
      </c>
      <c r="H255" s="4">
        <v>6</v>
      </c>
      <c r="I255" t="str">
        <f t="shared" si="3"/>
        <v>Stellifer micropsRockhead</v>
      </c>
    </row>
    <row r="256" spans="1:9" x14ac:dyDescent="0.35">
      <c r="A256">
        <v>5</v>
      </c>
      <c r="B256" s="2">
        <v>2015</v>
      </c>
      <c r="C256">
        <v>10</v>
      </c>
      <c r="D256" t="s">
        <v>174</v>
      </c>
      <c r="E256" t="s">
        <v>348</v>
      </c>
      <c r="F256" t="s">
        <v>21</v>
      </c>
      <c r="G256" t="s">
        <v>59</v>
      </c>
      <c r="H256" s="4">
        <v>7</v>
      </c>
      <c r="I256" t="str">
        <f t="shared" si="3"/>
        <v>Stellifer micropsRockhead</v>
      </c>
    </row>
    <row r="257" spans="1:9" x14ac:dyDescent="0.35">
      <c r="A257">
        <v>5</v>
      </c>
      <c r="B257" s="2">
        <v>2015</v>
      </c>
      <c r="C257">
        <v>10</v>
      </c>
      <c r="D257" t="s">
        <v>174</v>
      </c>
      <c r="E257" t="s">
        <v>348</v>
      </c>
      <c r="F257" t="s">
        <v>21</v>
      </c>
      <c r="G257" t="s">
        <v>59</v>
      </c>
      <c r="H257" s="4">
        <v>6</v>
      </c>
      <c r="I257" t="str">
        <f t="shared" si="3"/>
        <v>Stellifer micropsRockhead</v>
      </c>
    </row>
    <row r="258" spans="1:9" x14ac:dyDescent="0.35">
      <c r="A258">
        <v>5</v>
      </c>
      <c r="B258" s="2">
        <v>2015</v>
      </c>
      <c r="C258">
        <v>10</v>
      </c>
      <c r="D258" t="s">
        <v>174</v>
      </c>
      <c r="E258" t="s">
        <v>348</v>
      </c>
      <c r="F258" t="s">
        <v>21</v>
      </c>
      <c r="G258" t="s">
        <v>59</v>
      </c>
      <c r="H258" s="4">
        <v>4</v>
      </c>
      <c r="I258" t="str">
        <f t="shared" si="3"/>
        <v>Stellifer micropsRockhead</v>
      </c>
    </row>
    <row r="259" spans="1:9" x14ac:dyDescent="0.35">
      <c r="A259">
        <v>5</v>
      </c>
      <c r="B259" s="2">
        <v>2015</v>
      </c>
      <c r="C259">
        <v>10</v>
      </c>
      <c r="D259" t="s">
        <v>174</v>
      </c>
      <c r="E259" t="s">
        <v>348</v>
      </c>
      <c r="F259" t="s">
        <v>45</v>
      </c>
      <c r="G259" t="s">
        <v>46</v>
      </c>
      <c r="H259" s="4">
        <v>9</v>
      </c>
      <c r="I259" t="str">
        <f t="shared" ref="I259:I321" si="4">CONCATENATE(F259,G259)</f>
        <v>Conodon nobilisGrunt</v>
      </c>
    </row>
    <row r="260" spans="1:9" x14ac:dyDescent="0.35">
      <c r="A260">
        <v>5</v>
      </c>
      <c r="B260" s="2">
        <v>2015</v>
      </c>
      <c r="C260">
        <v>10</v>
      </c>
      <c r="D260" t="s">
        <v>174</v>
      </c>
      <c r="E260" t="s">
        <v>348</v>
      </c>
      <c r="F260" t="s">
        <v>116</v>
      </c>
      <c r="G260" t="s">
        <v>115</v>
      </c>
      <c r="H260" s="4">
        <v>9</v>
      </c>
      <c r="I260" t="str">
        <f t="shared" si="4"/>
        <v>Anchoa spiniferSpecule Anchovy</v>
      </c>
    </row>
    <row r="261" spans="1:9" x14ac:dyDescent="0.35">
      <c r="A261">
        <v>5</v>
      </c>
      <c r="B261" s="2">
        <v>2015</v>
      </c>
      <c r="C261">
        <v>10</v>
      </c>
      <c r="D261" t="s">
        <v>174</v>
      </c>
      <c r="E261" t="s">
        <v>348</v>
      </c>
      <c r="F261" t="s">
        <v>116</v>
      </c>
      <c r="G261" t="s">
        <v>115</v>
      </c>
      <c r="H261" s="4">
        <v>9</v>
      </c>
      <c r="I261" t="str">
        <f t="shared" si="4"/>
        <v>Anchoa spiniferSpecule Anchovy</v>
      </c>
    </row>
    <row r="262" spans="1:9" x14ac:dyDescent="0.35">
      <c r="A262">
        <v>5</v>
      </c>
      <c r="B262" s="2">
        <v>2015</v>
      </c>
      <c r="C262">
        <v>10</v>
      </c>
      <c r="D262" t="s">
        <v>174</v>
      </c>
      <c r="E262" t="s">
        <v>348</v>
      </c>
      <c r="F262" t="s">
        <v>116</v>
      </c>
      <c r="G262" t="s">
        <v>115</v>
      </c>
      <c r="H262" s="4">
        <v>8</v>
      </c>
      <c r="I262" t="str">
        <f t="shared" si="4"/>
        <v>Anchoa spiniferSpecule Anchovy</v>
      </c>
    </row>
    <row r="263" spans="1:9" x14ac:dyDescent="0.35">
      <c r="A263">
        <v>5</v>
      </c>
      <c r="B263" s="2">
        <v>2015</v>
      </c>
      <c r="C263">
        <v>10</v>
      </c>
      <c r="D263" t="s">
        <v>174</v>
      </c>
      <c r="E263" t="s">
        <v>348</v>
      </c>
      <c r="F263" t="s">
        <v>116</v>
      </c>
      <c r="G263" t="s">
        <v>115</v>
      </c>
      <c r="H263" s="4">
        <v>9</v>
      </c>
      <c r="I263" t="str">
        <f t="shared" si="4"/>
        <v>Anchoa spiniferSpecule Anchovy</v>
      </c>
    </row>
    <row r="264" spans="1:9" x14ac:dyDescent="0.35">
      <c r="A264">
        <v>5</v>
      </c>
      <c r="B264" s="2">
        <v>2015</v>
      </c>
      <c r="C264">
        <v>10</v>
      </c>
      <c r="D264" t="s">
        <v>174</v>
      </c>
      <c r="E264" t="s">
        <v>348</v>
      </c>
      <c r="F264" t="s">
        <v>116</v>
      </c>
      <c r="G264" t="s">
        <v>115</v>
      </c>
      <c r="H264" s="4">
        <v>9</v>
      </c>
      <c r="I264" t="str">
        <f t="shared" si="4"/>
        <v>Anchoa spiniferSpecule Anchovy</v>
      </c>
    </row>
    <row r="265" spans="1:9" x14ac:dyDescent="0.35">
      <c r="A265">
        <v>5</v>
      </c>
      <c r="B265" s="2">
        <v>2015</v>
      </c>
      <c r="C265">
        <v>10</v>
      </c>
      <c r="D265" t="s">
        <v>174</v>
      </c>
      <c r="E265" t="s">
        <v>348</v>
      </c>
      <c r="F265" t="s">
        <v>116</v>
      </c>
      <c r="G265" t="s">
        <v>115</v>
      </c>
      <c r="H265" s="4">
        <v>10</v>
      </c>
      <c r="I265" t="str">
        <f t="shared" si="4"/>
        <v>Anchoa spiniferSpecule Anchovy</v>
      </c>
    </row>
    <row r="266" spans="1:9" x14ac:dyDescent="0.35">
      <c r="A266">
        <v>5</v>
      </c>
      <c r="B266" s="2">
        <v>2015</v>
      </c>
      <c r="C266">
        <v>10</v>
      </c>
      <c r="D266" t="s">
        <v>174</v>
      </c>
      <c r="E266" t="s">
        <v>348</v>
      </c>
      <c r="F266" t="s">
        <v>116</v>
      </c>
      <c r="G266" t="s">
        <v>115</v>
      </c>
      <c r="H266" s="4">
        <v>5</v>
      </c>
      <c r="I266" t="str">
        <f t="shared" si="4"/>
        <v>Anchoa spiniferSpecule Anchovy</v>
      </c>
    </row>
    <row r="267" spans="1:9" x14ac:dyDescent="0.35">
      <c r="A267">
        <v>5</v>
      </c>
      <c r="B267" s="2">
        <v>2015</v>
      </c>
      <c r="C267">
        <v>10</v>
      </c>
      <c r="D267" t="s">
        <v>174</v>
      </c>
      <c r="E267" t="s">
        <v>348</v>
      </c>
      <c r="F267" t="s">
        <v>116</v>
      </c>
      <c r="G267" t="s">
        <v>115</v>
      </c>
      <c r="H267" s="4">
        <v>5</v>
      </c>
      <c r="I267" t="str">
        <f t="shared" si="4"/>
        <v>Anchoa spiniferSpecule Anchovy</v>
      </c>
    </row>
    <row r="268" spans="1:9" x14ac:dyDescent="0.35">
      <c r="A268">
        <v>5</v>
      </c>
      <c r="B268" s="2">
        <v>2015</v>
      </c>
      <c r="C268">
        <v>10</v>
      </c>
      <c r="D268" t="s">
        <v>174</v>
      </c>
      <c r="E268" t="s">
        <v>348</v>
      </c>
      <c r="F268" t="s">
        <v>116</v>
      </c>
      <c r="G268" t="s">
        <v>115</v>
      </c>
      <c r="H268" s="4">
        <v>6</v>
      </c>
      <c r="I268" t="str">
        <f t="shared" si="4"/>
        <v>Anchoa spiniferSpecule Anchovy</v>
      </c>
    </row>
    <row r="269" spans="1:9" x14ac:dyDescent="0.35">
      <c r="A269">
        <v>5</v>
      </c>
      <c r="B269" s="2">
        <v>2015</v>
      </c>
      <c r="C269">
        <v>10</v>
      </c>
      <c r="D269" t="s">
        <v>174</v>
      </c>
      <c r="E269" t="s">
        <v>348</v>
      </c>
      <c r="F269" t="s">
        <v>116</v>
      </c>
      <c r="G269" t="s">
        <v>115</v>
      </c>
      <c r="H269" s="4">
        <v>5</v>
      </c>
      <c r="I269" t="str">
        <f t="shared" si="4"/>
        <v>Anchoa spiniferSpecule Anchovy</v>
      </c>
    </row>
    <row r="270" spans="1:9" x14ac:dyDescent="0.35">
      <c r="A270">
        <v>5</v>
      </c>
      <c r="B270" s="2">
        <v>2015</v>
      </c>
      <c r="C270">
        <v>10</v>
      </c>
      <c r="D270" t="s">
        <v>174</v>
      </c>
      <c r="E270" t="s">
        <v>348</v>
      </c>
      <c r="F270" t="s">
        <v>122</v>
      </c>
      <c r="G270" t="s">
        <v>53</v>
      </c>
      <c r="H270" s="4">
        <v>14</v>
      </c>
      <c r="I270" t="str">
        <f t="shared" si="4"/>
        <v>Pellona harroweriRiver Pellona</v>
      </c>
    </row>
    <row r="271" spans="1:9" x14ac:dyDescent="0.35">
      <c r="A271">
        <v>5</v>
      </c>
      <c r="B271" s="2">
        <v>2015</v>
      </c>
      <c r="C271">
        <v>10</v>
      </c>
      <c r="D271" t="s">
        <v>174</v>
      </c>
      <c r="E271" t="s">
        <v>348</v>
      </c>
      <c r="F271" t="s">
        <v>122</v>
      </c>
      <c r="G271" t="s">
        <v>53</v>
      </c>
      <c r="H271" s="4">
        <v>16</v>
      </c>
      <c r="I271" t="str">
        <f t="shared" si="4"/>
        <v>Pellona harroweriRiver Pellona</v>
      </c>
    </row>
    <row r="272" spans="1:9" x14ac:dyDescent="0.35">
      <c r="A272">
        <v>5</v>
      </c>
      <c r="B272" s="2">
        <v>2015</v>
      </c>
      <c r="C272">
        <v>10</v>
      </c>
      <c r="D272" t="s">
        <v>174</v>
      </c>
      <c r="E272" t="s">
        <v>348</v>
      </c>
      <c r="F272" t="s">
        <v>122</v>
      </c>
      <c r="G272" t="s">
        <v>53</v>
      </c>
      <c r="H272" s="4">
        <v>13</v>
      </c>
      <c r="I272" t="str">
        <f t="shared" si="4"/>
        <v>Pellona harroweriRiver Pellona</v>
      </c>
    </row>
    <row r="273" spans="1:9" x14ac:dyDescent="0.35">
      <c r="A273">
        <v>5</v>
      </c>
      <c r="B273" s="2">
        <v>2015</v>
      </c>
      <c r="C273">
        <v>10</v>
      </c>
      <c r="D273" t="s">
        <v>174</v>
      </c>
      <c r="E273" t="s">
        <v>348</v>
      </c>
      <c r="F273" t="s">
        <v>122</v>
      </c>
      <c r="G273" t="s">
        <v>53</v>
      </c>
      <c r="H273" s="4">
        <v>12</v>
      </c>
      <c r="I273" t="str">
        <f t="shared" si="4"/>
        <v>Pellona harroweriRiver Pellona</v>
      </c>
    </row>
    <row r="274" spans="1:9" x14ac:dyDescent="0.35">
      <c r="A274">
        <v>5</v>
      </c>
      <c r="B274" s="2">
        <v>2015</v>
      </c>
      <c r="C274">
        <v>10</v>
      </c>
      <c r="D274" t="s">
        <v>174</v>
      </c>
      <c r="E274" t="s">
        <v>348</v>
      </c>
      <c r="F274" t="s">
        <v>122</v>
      </c>
      <c r="G274" t="s">
        <v>53</v>
      </c>
      <c r="H274" s="4">
        <v>11</v>
      </c>
      <c r="I274" t="str">
        <f t="shared" si="4"/>
        <v>Pellona harroweriRiver Pellona</v>
      </c>
    </row>
    <row r="275" spans="1:9" x14ac:dyDescent="0.35">
      <c r="A275">
        <v>5</v>
      </c>
      <c r="B275" s="2">
        <v>2015</v>
      </c>
      <c r="C275">
        <v>10</v>
      </c>
      <c r="D275" t="s">
        <v>174</v>
      </c>
      <c r="E275" t="s">
        <v>348</v>
      </c>
      <c r="F275" t="s">
        <v>22</v>
      </c>
      <c r="G275" t="s">
        <v>123</v>
      </c>
      <c r="H275" s="4">
        <v>9</v>
      </c>
      <c r="I275" t="str">
        <f t="shared" si="4"/>
        <v>Menticirrhus americanusSouthern Kingcroaker</v>
      </c>
    </row>
    <row r="276" spans="1:9" x14ac:dyDescent="0.35">
      <c r="A276">
        <v>5</v>
      </c>
      <c r="B276" s="2">
        <v>2015</v>
      </c>
      <c r="C276">
        <v>10</v>
      </c>
      <c r="D276" t="s">
        <v>174</v>
      </c>
      <c r="E276" t="s">
        <v>348</v>
      </c>
      <c r="F276" t="s">
        <v>22</v>
      </c>
      <c r="G276" t="s">
        <v>123</v>
      </c>
      <c r="H276" s="4">
        <v>12</v>
      </c>
      <c r="I276" t="str">
        <f t="shared" si="4"/>
        <v>Menticirrhus americanusSouthern Kingcroaker</v>
      </c>
    </row>
    <row r="277" spans="1:9" x14ac:dyDescent="0.35">
      <c r="A277">
        <v>5</v>
      </c>
      <c r="B277" s="2">
        <v>2015</v>
      </c>
      <c r="C277">
        <v>10</v>
      </c>
      <c r="D277" t="s">
        <v>174</v>
      </c>
      <c r="E277" t="s">
        <v>348</v>
      </c>
      <c r="F277" t="s">
        <v>22</v>
      </c>
      <c r="G277" t="s">
        <v>123</v>
      </c>
      <c r="H277" s="4">
        <v>10</v>
      </c>
      <c r="I277" t="str">
        <f t="shared" si="4"/>
        <v>Menticirrhus americanusSouthern Kingcroaker</v>
      </c>
    </row>
    <row r="278" spans="1:9" x14ac:dyDescent="0.35">
      <c r="A278">
        <v>5</v>
      </c>
      <c r="B278" s="2">
        <v>2015</v>
      </c>
      <c r="C278">
        <v>10</v>
      </c>
      <c r="D278" t="s">
        <v>174</v>
      </c>
      <c r="E278" t="s">
        <v>348</v>
      </c>
      <c r="F278" t="s">
        <v>25</v>
      </c>
      <c r="G278" t="s">
        <v>26</v>
      </c>
      <c r="H278" s="4">
        <v>7</v>
      </c>
      <c r="I278" t="str">
        <f t="shared" si="4"/>
        <v>Laligo laligoSquid Laligo</v>
      </c>
    </row>
    <row r="279" spans="1:9" x14ac:dyDescent="0.35">
      <c r="A279">
        <v>5</v>
      </c>
      <c r="B279" s="2">
        <v>2015</v>
      </c>
      <c r="C279">
        <v>10</v>
      </c>
      <c r="D279" t="s">
        <v>174</v>
      </c>
      <c r="E279" t="s">
        <v>348</v>
      </c>
      <c r="F279" t="s">
        <v>25</v>
      </c>
      <c r="G279" t="s">
        <v>26</v>
      </c>
      <c r="H279" s="4">
        <v>7</v>
      </c>
      <c r="I279" t="str">
        <f t="shared" si="4"/>
        <v>Laligo laligoSquid Laligo</v>
      </c>
    </row>
    <row r="280" spans="1:9" x14ac:dyDescent="0.35">
      <c r="A280">
        <v>5</v>
      </c>
      <c r="B280" s="2">
        <v>2015</v>
      </c>
      <c r="C280">
        <v>10</v>
      </c>
      <c r="D280" t="s">
        <v>174</v>
      </c>
      <c r="E280" t="s">
        <v>348</v>
      </c>
      <c r="F280" t="s">
        <v>25</v>
      </c>
      <c r="G280" t="s">
        <v>26</v>
      </c>
      <c r="H280" s="4">
        <v>6</v>
      </c>
      <c r="I280" t="str">
        <f t="shared" si="4"/>
        <v>Laligo laligoSquid Laligo</v>
      </c>
    </row>
    <row r="281" spans="1:9" x14ac:dyDescent="0.35">
      <c r="A281">
        <v>5</v>
      </c>
      <c r="B281" s="2">
        <v>2015</v>
      </c>
      <c r="C281">
        <v>10</v>
      </c>
      <c r="D281" t="s">
        <v>174</v>
      </c>
      <c r="E281" t="s">
        <v>348</v>
      </c>
      <c r="F281" t="s">
        <v>25</v>
      </c>
      <c r="G281" t="s">
        <v>26</v>
      </c>
      <c r="H281" s="4">
        <v>5</v>
      </c>
      <c r="I281" t="str">
        <f t="shared" si="4"/>
        <v>Laligo laligoSquid Laligo</v>
      </c>
    </row>
    <row r="282" spans="1:9" x14ac:dyDescent="0.35">
      <c r="A282">
        <v>5</v>
      </c>
      <c r="B282" s="2">
        <v>2015</v>
      </c>
      <c r="C282">
        <v>10</v>
      </c>
      <c r="D282" t="s">
        <v>174</v>
      </c>
      <c r="E282" t="s">
        <v>348</v>
      </c>
      <c r="F282" t="s">
        <v>25</v>
      </c>
      <c r="G282" t="s">
        <v>26</v>
      </c>
      <c r="H282" s="4">
        <v>8</v>
      </c>
      <c r="I282" t="str">
        <f t="shared" si="4"/>
        <v>Laligo laligoSquid Laligo</v>
      </c>
    </row>
    <row r="283" spans="1:9" x14ac:dyDescent="0.35">
      <c r="A283">
        <v>5</v>
      </c>
      <c r="B283" s="2">
        <v>2015</v>
      </c>
      <c r="C283">
        <v>10</v>
      </c>
      <c r="D283" t="s">
        <v>174</v>
      </c>
      <c r="E283" t="s">
        <v>348</v>
      </c>
      <c r="F283" t="s">
        <v>25</v>
      </c>
      <c r="G283" t="s">
        <v>26</v>
      </c>
      <c r="H283" s="4">
        <v>7</v>
      </c>
      <c r="I283" t="str">
        <f t="shared" si="4"/>
        <v>Laligo laligoSquid Laligo</v>
      </c>
    </row>
    <row r="284" spans="1:9" x14ac:dyDescent="0.35">
      <c r="A284">
        <v>5</v>
      </c>
      <c r="B284" s="2">
        <v>2015</v>
      </c>
      <c r="C284">
        <v>10</v>
      </c>
      <c r="D284" t="s">
        <v>174</v>
      </c>
      <c r="E284" t="s">
        <v>348</v>
      </c>
      <c r="F284" t="s">
        <v>25</v>
      </c>
      <c r="G284" t="s">
        <v>26</v>
      </c>
      <c r="H284" s="4">
        <v>8</v>
      </c>
      <c r="I284" t="str">
        <f t="shared" si="4"/>
        <v>Laligo laligoSquid Laligo</v>
      </c>
    </row>
    <row r="285" spans="1:9" x14ac:dyDescent="0.35">
      <c r="A285">
        <v>5</v>
      </c>
      <c r="B285" s="2">
        <v>2015</v>
      </c>
      <c r="C285">
        <v>10</v>
      </c>
      <c r="D285" t="s">
        <v>174</v>
      </c>
      <c r="E285" t="s">
        <v>348</v>
      </c>
      <c r="F285" t="s">
        <v>25</v>
      </c>
      <c r="G285" t="s">
        <v>26</v>
      </c>
      <c r="H285" s="4">
        <v>5</v>
      </c>
      <c r="I285" t="str">
        <f t="shared" si="4"/>
        <v>Laligo laligoSquid Laligo</v>
      </c>
    </row>
    <row r="286" spans="1:9" x14ac:dyDescent="0.35">
      <c r="A286">
        <v>5</v>
      </c>
      <c r="B286" s="2">
        <v>2015</v>
      </c>
      <c r="C286">
        <v>10</v>
      </c>
      <c r="D286" t="s">
        <v>174</v>
      </c>
      <c r="E286" t="s">
        <v>348</v>
      </c>
      <c r="F286" t="s">
        <v>25</v>
      </c>
      <c r="G286" t="s">
        <v>26</v>
      </c>
      <c r="H286" s="4">
        <v>7</v>
      </c>
      <c r="I286" t="str">
        <f t="shared" si="4"/>
        <v>Laligo laligoSquid Laligo</v>
      </c>
    </row>
    <row r="287" spans="1:9" x14ac:dyDescent="0.35">
      <c r="A287">
        <v>5</v>
      </c>
      <c r="B287" s="2">
        <v>2015</v>
      </c>
      <c r="C287">
        <v>10</v>
      </c>
      <c r="D287" t="s">
        <v>174</v>
      </c>
      <c r="E287" t="s">
        <v>348</v>
      </c>
      <c r="F287" t="s">
        <v>25</v>
      </c>
      <c r="G287" t="s">
        <v>26</v>
      </c>
      <c r="H287" s="4">
        <v>12</v>
      </c>
      <c r="I287" t="str">
        <f t="shared" si="4"/>
        <v>Laligo laligoSquid Laligo</v>
      </c>
    </row>
    <row r="288" spans="1:9" x14ac:dyDescent="0.35">
      <c r="A288">
        <v>7</v>
      </c>
      <c r="B288">
        <v>2015</v>
      </c>
      <c r="C288">
        <v>12</v>
      </c>
      <c r="D288" t="s">
        <v>173</v>
      </c>
      <c r="E288" t="s">
        <v>348</v>
      </c>
      <c r="F288" t="s">
        <v>54</v>
      </c>
      <c r="G288" t="s">
        <v>55</v>
      </c>
      <c r="H288" s="4">
        <v>13</v>
      </c>
      <c r="I288" t="str">
        <f t="shared" si="4"/>
        <v>Arius proopsCuirass</v>
      </c>
    </row>
    <row r="289" spans="1:9" x14ac:dyDescent="0.35">
      <c r="A289">
        <v>7</v>
      </c>
      <c r="B289">
        <v>2015</v>
      </c>
      <c r="C289">
        <v>12</v>
      </c>
      <c r="D289" t="s">
        <v>173</v>
      </c>
      <c r="E289" t="s">
        <v>348</v>
      </c>
      <c r="F289" t="s">
        <v>54</v>
      </c>
      <c r="G289" t="s">
        <v>55</v>
      </c>
      <c r="H289" s="4">
        <v>11</v>
      </c>
      <c r="I289" t="str">
        <f t="shared" si="4"/>
        <v>Arius proopsCuirass</v>
      </c>
    </row>
    <row r="290" spans="1:9" x14ac:dyDescent="0.35">
      <c r="A290">
        <v>7</v>
      </c>
      <c r="B290">
        <v>2015</v>
      </c>
      <c r="C290">
        <v>12</v>
      </c>
      <c r="D290" t="s">
        <v>173</v>
      </c>
      <c r="E290" t="s">
        <v>348</v>
      </c>
      <c r="F290" t="s">
        <v>54</v>
      </c>
      <c r="G290" t="s">
        <v>55</v>
      </c>
      <c r="H290" s="4">
        <v>12</v>
      </c>
      <c r="I290" t="str">
        <f t="shared" si="4"/>
        <v>Arius proopsCuirass</v>
      </c>
    </row>
    <row r="291" spans="1:9" x14ac:dyDescent="0.35">
      <c r="A291">
        <v>7</v>
      </c>
      <c r="B291">
        <v>2015</v>
      </c>
      <c r="C291">
        <v>12</v>
      </c>
      <c r="D291" t="s">
        <v>173</v>
      </c>
      <c r="E291" t="s">
        <v>348</v>
      </c>
      <c r="F291" t="s">
        <v>54</v>
      </c>
      <c r="G291" t="s">
        <v>55</v>
      </c>
      <c r="H291" s="4">
        <v>11</v>
      </c>
      <c r="I291" t="str">
        <f t="shared" si="4"/>
        <v>Arius proopsCuirass</v>
      </c>
    </row>
    <row r="292" spans="1:9" x14ac:dyDescent="0.35">
      <c r="A292">
        <v>7</v>
      </c>
      <c r="B292">
        <v>2015</v>
      </c>
      <c r="C292">
        <v>12</v>
      </c>
      <c r="D292" t="s">
        <v>173</v>
      </c>
      <c r="E292" t="s">
        <v>348</v>
      </c>
      <c r="F292" t="s">
        <v>54</v>
      </c>
      <c r="G292" t="s">
        <v>55</v>
      </c>
      <c r="H292" s="4">
        <v>11</v>
      </c>
      <c r="I292" t="str">
        <f t="shared" si="4"/>
        <v>Arius proopsCuirass</v>
      </c>
    </row>
    <row r="293" spans="1:9" x14ac:dyDescent="0.35">
      <c r="A293">
        <v>7</v>
      </c>
      <c r="B293">
        <v>2015</v>
      </c>
      <c r="C293">
        <v>12</v>
      </c>
      <c r="D293" t="s">
        <v>173</v>
      </c>
      <c r="E293" t="s">
        <v>348</v>
      </c>
      <c r="F293" t="s">
        <v>54</v>
      </c>
      <c r="G293" t="s">
        <v>55</v>
      </c>
      <c r="H293" s="4">
        <v>9</v>
      </c>
      <c r="I293" t="str">
        <f t="shared" si="4"/>
        <v>Arius proopsCuirass</v>
      </c>
    </row>
    <row r="294" spans="1:9" x14ac:dyDescent="0.35">
      <c r="A294">
        <v>7</v>
      </c>
      <c r="B294">
        <v>2015</v>
      </c>
      <c r="C294">
        <v>12</v>
      </c>
      <c r="D294" t="s">
        <v>173</v>
      </c>
      <c r="E294" t="s">
        <v>348</v>
      </c>
      <c r="F294" t="s">
        <v>54</v>
      </c>
      <c r="G294" t="s">
        <v>55</v>
      </c>
      <c r="H294" s="4">
        <v>8</v>
      </c>
      <c r="I294" t="str">
        <f t="shared" si="4"/>
        <v>Arius proopsCuirass</v>
      </c>
    </row>
    <row r="295" spans="1:9" x14ac:dyDescent="0.35">
      <c r="A295">
        <v>7</v>
      </c>
      <c r="B295">
        <v>2015</v>
      </c>
      <c r="C295">
        <v>12</v>
      </c>
      <c r="D295" t="s">
        <v>173</v>
      </c>
      <c r="E295" t="s">
        <v>348</v>
      </c>
      <c r="F295" t="s">
        <v>54</v>
      </c>
      <c r="G295" t="s">
        <v>55</v>
      </c>
      <c r="H295" s="4">
        <v>8</v>
      </c>
      <c r="I295" t="str">
        <f t="shared" si="4"/>
        <v>Arius proopsCuirass</v>
      </c>
    </row>
    <row r="296" spans="1:9" x14ac:dyDescent="0.35">
      <c r="A296">
        <v>7</v>
      </c>
      <c r="B296">
        <v>2015</v>
      </c>
      <c r="C296">
        <v>12</v>
      </c>
      <c r="D296" t="s">
        <v>173</v>
      </c>
      <c r="E296" t="s">
        <v>348</v>
      </c>
      <c r="F296" t="s">
        <v>54</v>
      </c>
      <c r="G296" t="s">
        <v>55</v>
      </c>
      <c r="H296" s="4">
        <v>8</v>
      </c>
      <c r="I296" t="str">
        <f t="shared" si="4"/>
        <v>Arius proopsCuirass</v>
      </c>
    </row>
    <row r="297" spans="1:9" x14ac:dyDescent="0.35">
      <c r="A297">
        <v>7</v>
      </c>
      <c r="B297">
        <v>2015</v>
      </c>
      <c r="C297">
        <v>12</v>
      </c>
      <c r="D297" t="s">
        <v>173</v>
      </c>
      <c r="E297" t="s">
        <v>348</v>
      </c>
      <c r="F297" t="s">
        <v>54</v>
      </c>
      <c r="G297" t="s">
        <v>55</v>
      </c>
      <c r="H297" s="4">
        <v>8</v>
      </c>
      <c r="I297" t="str">
        <f t="shared" si="4"/>
        <v>Arius proopsCuirass</v>
      </c>
    </row>
    <row r="298" spans="1:9" x14ac:dyDescent="0.35">
      <c r="A298">
        <v>7</v>
      </c>
      <c r="B298">
        <v>2015</v>
      </c>
      <c r="C298">
        <v>12</v>
      </c>
      <c r="D298" t="s">
        <v>173</v>
      </c>
      <c r="E298" t="s">
        <v>348</v>
      </c>
      <c r="F298" t="s">
        <v>6</v>
      </c>
      <c r="G298" t="s">
        <v>37</v>
      </c>
      <c r="H298" s="4">
        <v>13</v>
      </c>
      <c r="I298" t="str">
        <f t="shared" si="4"/>
        <v>Symphurus plagusiaTongue fish</v>
      </c>
    </row>
    <row r="299" spans="1:9" x14ac:dyDescent="0.35">
      <c r="A299">
        <v>7</v>
      </c>
      <c r="B299">
        <v>2015</v>
      </c>
      <c r="C299">
        <v>12</v>
      </c>
      <c r="D299" t="s">
        <v>173</v>
      </c>
      <c r="E299" t="s">
        <v>348</v>
      </c>
      <c r="F299" t="s">
        <v>6</v>
      </c>
      <c r="G299" t="s">
        <v>37</v>
      </c>
      <c r="H299" s="4">
        <v>11</v>
      </c>
      <c r="I299" t="str">
        <f t="shared" si="4"/>
        <v>Symphurus plagusiaTongue fish</v>
      </c>
    </row>
    <row r="300" spans="1:9" x14ac:dyDescent="0.35">
      <c r="A300">
        <v>7</v>
      </c>
      <c r="B300">
        <v>2015</v>
      </c>
      <c r="C300">
        <v>12</v>
      </c>
      <c r="D300" t="s">
        <v>173</v>
      </c>
      <c r="E300" t="s">
        <v>348</v>
      </c>
      <c r="F300" t="s">
        <v>6</v>
      </c>
      <c r="G300" t="s">
        <v>37</v>
      </c>
      <c r="H300" s="4">
        <v>14</v>
      </c>
      <c r="I300" t="str">
        <f t="shared" si="4"/>
        <v>Symphurus plagusiaTongue fish</v>
      </c>
    </row>
    <row r="301" spans="1:9" x14ac:dyDescent="0.35">
      <c r="A301">
        <v>7</v>
      </c>
      <c r="B301">
        <v>2015</v>
      </c>
      <c r="C301">
        <v>12</v>
      </c>
      <c r="D301" t="s">
        <v>173</v>
      </c>
      <c r="E301" t="s">
        <v>348</v>
      </c>
      <c r="F301" t="s">
        <v>6</v>
      </c>
      <c r="G301" t="s">
        <v>37</v>
      </c>
      <c r="H301" s="4">
        <v>12</v>
      </c>
      <c r="I301" t="str">
        <f t="shared" si="4"/>
        <v>Symphurus plagusiaTongue fish</v>
      </c>
    </row>
    <row r="302" spans="1:9" x14ac:dyDescent="0.35">
      <c r="A302">
        <v>7</v>
      </c>
      <c r="B302">
        <v>2015</v>
      </c>
      <c r="C302">
        <v>12</v>
      </c>
      <c r="D302" t="s">
        <v>173</v>
      </c>
      <c r="E302" t="s">
        <v>348</v>
      </c>
      <c r="F302" t="s">
        <v>6</v>
      </c>
      <c r="G302" t="s">
        <v>37</v>
      </c>
      <c r="H302" s="4">
        <v>7</v>
      </c>
      <c r="I302" t="str">
        <f t="shared" si="4"/>
        <v>Symphurus plagusiaTongue fish</v>
      </c>
    </row>
    <row r="303" spans="1:9" x14ac:dyDescent="0.35">
      <c r="A303">
        <v>7</v>
      </c>
      <c r="B303">
        <v>2015</v>
      </c>
      <c r="C303">
        <v>12</v>
      </c>
      <c r="D303" t="s">
        <v>173</v>
      </c>
      <c r="E303" t="s">
        <v>348</v>
      </c>
      <c r="F303" t="s">
        <v>6</v>
      </c>
      <c r="G303" t="s">
        <v>37</v>
      </c>
      <c r="H303" s="4">
        <v>12</v>
      </c>
      <c r="I303" t="str">
        <f t="shared" si="4"/>
        <v>Symphurus plagusiaTongue fish</v>
      </c>
    </row>
    <row r="304" spans="1:9" x14ac:dyDescent="0.35">
      <c r="A304">
        <v>7</v>
      </c>
      <c r="B304">
        <v>2015</v>
      </c>
      <c r="C304">
        <v>12</v>
      </c>
      <c r="D304" t="s">
        <v>173</v>
      </c>
      <c r="E304" t="s">
        <v>348</v>
      </c>
      <c r="F304" t="s">
        <v>6</v>
      </c>
      <c r="G304" t="s">
        <v>37</v>
      </c>
      <c r="H304" s="4">
        <v>14</v>
      </c>
      <c r="I304" t="str">
        <f t="shared" si="4"/>
        <v>Symphurus plagusiaTongue fish</v>
      </c>
    </row>
    <row r="305" spans="1:9" x14ac:dyDescent="0.35">
      <c r="A305">
        <v>7</v>
      </c>
      <c r="B305">
        <v>2015</v>
      </c>
      <c r="C305">
        <v>12</v>
      </c>
      <c r="D305" t="s">
        <v>173</v>
      </c>
      <c r="E305" t="s">
        <v>348</v>
      </c>
      <c r="F305" t="s">
        <v>6</v>
      </c>
      <c r="G305" t="s">
        <v>37</v>
      </c>
      <c r="H305" s="4">
        <v>10</v>
      </c>
      <c r="I305" t="str">
        <f t="shared" si="4"/>
        <v>Symphurus plagusiaTongue fish</v>
      </c>
    </row>
    <row r="306" spans="1:9" x14ac:dyDescent="0.35">
      <c r="A306">
        <v>7</v>
      </c>
      <c r="B306">
        <v>2015</v>
      </c>
      <c r="C306">
        <v>12</v>
      </c>
      <c r="D306" t="s">
        <v>173</v>
      </c>
      <c r="E306" t="s">
        <v>348</v>
      </c>
      <c r="F306" t="s">
        <v>6</v>
      </c>
      <c r="G306" t="s">
        <v>37</v>
      </c>
      <c r="H306" s="4">
        <v>8</v>
      </c>
      <c r="I306" t="str">
        <f t="shared" si="4"/>
        <v>Symphurus plagusiaTongue fish</v>
      </c>
    </row>
    <row r="307" spans="1:9" x14ac:dyDescent="0.35">
      <c r="A307">
        <v>7</v>
      </c>
      <c r="B307">
        <v>2015</v>
      </c>
      <c r="C307">
        <v>12</v>
      </c>
      <c r="D307" t="s">
        <v>173</v>
      </c>
      <c r="E307" t="s">
        <v>348</v>
      </c>
      <c r="F307" t="s">
        <v>80</v>
      </c>
      <c r="G307" t="s">
        <v>79</v>
      </c>
      <c r="H307" s="4">
        <v>8</v>
      </c>
      <c r="I307" t="str">
        <f t="shared" si="4"/>
        <v>Apionichthys dumeriliLongtail Sole</v>
      </c>
    </row>
    <row r="308" spans="1:9" x14ac:dyDescent="0.35">
      <c r="A308">
        <v>7</v>
      </c>
      <c r="B308">
        <v>2015</v>
      </c>
      <c r="C308">
        <v>12</v>
      </c>
      <c r="D308" t="s">
        <v>173</v>
      </c>
      <c r="E308" t="s">
        <v>348</v>
      </c>
      <c r="F308" t="s">
        <v>80</v>
      </c>
      <c r="G308" t="s">
        <v>79</v>
      </c>
      <c r="H308" s="4">
        <v>8</v>
      </c>
      <c r="I308" t="str">
        <f t="shared" si="4"/>
        <v>Apionichthys dumeriliLongtail Sole</v>
      </c>
    </row>
    <row r="309" spans="1:9" x14ac:dyDescent="0.35">
      <c r="A309">
        <v>7</v>
      </c>
      <c r="B309">
        <v>2015</v>
      </c>
      <c r="C309">
        <v>12</v>
      </c>
      <c r="D309" t="s">
        <v>173</v>
      </c>
      <c r="E309" t="s">
        <v>348</v>
      </c>
      <c r="F309" t="s">
        <v>80</v>
      </c>
      <c r="G309" t="s">
        <v>79</v>
      </c>
      <c r="H309" s="4">
        <v>7</v>
      </c>
      <c r="I309" t="str">
        <f t="shared" si="4"/>
        <v>Apionichthys dumeriliLongtail Sole</v>
      </c>
    </row>
    <row r="310" spans="1:9" x14ac:dyDescent="0.35">
      <c r="A310">
        <v>7</v>
      </c>
      <c r="B310">
        <v>2015</v>
      </c>
      <c r="C310">
        <v>12</v>
      </c>
      <c r="D310" t="s">
        <v>173</v>
      </c>
      <c r="E310" t="s">
        <v>348</v>
      </c>
      <c r="F310" t="s">
        <v>80</v>
      </c>
      <c r="G310" t="s">
        <v>79</v>
      </c>
      <c r="H310" s="4">
        <v>9</v>
      </c>
      <c r="I310" t="str">
        <f t="shared" si="4"/>
        <v>Apionichthys dumeriliLongtail Sole</v>
      </c>
    </row>
    <row r="311" spans="1:9" x14ac:dyDescent="0.35">
      <c r="A311">
        <v>7</v>
      </c>
      <c r="B311">
        <v>2015</v>
      </c>
      <c r="C311">
        <v>12</v>
      </c>
      <c r="D311" t="s">
        <v>173</v>
      </c>
      <c r="E311" t="s">
        <v>348</v>
      </c>
      <c r="F311" t="s">
        <v>80</v>
      </c>
      <c r="G311" t="s">
        <v>79</v>
      </c>
      <c r="H311" s="4">
        <v>9</v>
      </c>
      <c r="I311" t="str">
        <f t="shared" si="4"/>
        <v>Apionichthys dumeriliLongtail Sole</v>
      </c>
    </row>
    <row r="312" spans="1:9" x14ac:dyDescent="0.35">
      <c r="A312">
        <v>7</v>
      </c>
      <c r="B312">
        <v>2015</v>
      </c>
      <c r="C312">
        <v>12</v>
      </c>
      <c r="D312" t="s">
        <v>173</v>
      </c>
      <c r="E312" t="s">
        <v>348</v>
      </c>
      <c r="F312" t="s">
        <v>80</v>
      </c>
      <c r="G312" t="s">
        <v>79</v>
      </c>
      <c r="H312" s="4">
        <v>9</v>
      </c>
      <c r="I312" t="str">
        <f t="shared" si="4"/>
        <v>Apionichthys dumeriliLongtail Sole</v>
      </c>
    </row>
    <row r="313" spans="1:9" x14ac:dyDescent="0.35">
      <c r="A313">
        <v>7</v>
      </c>
      <c r="B313">
        <v>2015</v>
      </c>
      <c r="C313">
        <v>12</v>
      </c>
      <c r="D313" t="s">
        <v>173</v>
      </c>
      <c r="E313" t="s">
        <v>348</v>
      </c>
      <c r="F313" t="s">
        <v>80</v>
      </c>
      <c r="G313" t="s">
        <v>79</v>
      </c>
      <c r="H313" s="4">
        <v>8</v>
      </c>
      <c r="I313" t="str">
        <f t="shared" si="4"/>
        <v>Apionichthys dumeriliLongtail Sole</v>
      </c>
    </row>
    <row r="314" spans="1:9" x14ac:dyDescent="0.35">
      <c r="A314">
        <v>7</v>
      </c>
      <c r="B314">
        <v>2015</v>
      </c>
      <c r="C314">
        <v>12</v>
      </c>
      <c r="D314" t="s">
        <v>173</v>
      </c>
      <c r="E314" t="s">
        <v>348</v>
      </c>
      <c r="F314" t="s">
        <v>80</v>
      </c>
      <c r="G314" t="s">
        <v>79</v>
      </c>
      <c r="H314" s="4">
        <v>9</v>
      </c>
      <c r="I314" t="str">
        <f t="shared" si="4"/>
        <v>Apionichthys dumeriliLongtail Sole</v>
      </c>
    </row>
    <row r="315" spans="1:9" x14ac:dyDescent="0.35">
      <c r="A315">
        <v>7</v>
      </c>
      <c r="B315">
        <v>2015</v>
      </c>
      <c r="C315">
        <v>12</v>
      </c>
      <c r="D315" t="s">
        <v>173</v>
      </c>
      <c r="E315" t="s">
        <v>348</v>
      </c>
      <c r="F315" t="s">
        <v>80</v>
      </c>
      <c r="G315" t="s">
        <v>79</v>
      </c>
      <c r="H315" s="4">
        <v>9</v>
      </c>
      <c r="I315" t="str">
        <f t="shared" si="4"/>
        <v>Apionichthys dumeriliLongtail Sole</v>
      </c>
    </row>
    <row r="316" spans="1:9" x14ac:dyDescent="0.35">
      <c r="A316">
        <v>7</v>
      </c>
      <c r="B316">
        <v>2015</v>
      </c>
      <c r="C316">
        <v>12</v>
      </c>
      <c r="D316" t="s">
        <v>173</v>
      </c>
      <c r="E316" t="s">
        <v>348</v>
      </c>
      <c r="F316" t="s">
        <v>80</v>
      </c>
      <c r="G316" t="s">
        <v>79</v>
      </c>
      <c r="H316" s="4">
        <v>9</v>
      </c>
      <c r="I316" t="str">
        <f t="shared" si="4"/>
        <v>Apionichthys dumeriliLongtail Sole</v>
      </c>
    </row>
    <row r="317" spans="1:9" x14ac:dyDescent="0.35">
      <c r="A317">
        <v>7</v>
      </c>
      <c r="B317">
        <v>2015</v>
      </c>
      <c r="C317">
        <v>12</v>
      </c>
      <c r="D317" t="s">
        <v>173</v>
      </c>
      <c r="E317" t="s">
        <v>348</v>
      </c>
      <c r="F317" t="s">
        <v>7</v>
      </c>
      <c r="G317" t="s">
        <v>8</v>
      </c>
      <c r="H317" s="4">
        <v>13</v>
      </c>
      <c r="I317" t="str">
        <f t="shared" si="4"/>
        <v>Achirus achirusDrab Sole</v>
      </c>
    </row>
    <row r="318" spans="1:9" x14ac:dyDescent="0.35">
      <c r="A318">
        <v>7</v>
      </c>
      <c r="B318">
        <v>2015</v>
      </c>
      <c r="C318">
        <v>12</v>
      </c>
      <c r="D318" t="s">
        <v>173</v>
      </c>
      <c r="E318" t="s">
        <v>348</v>
      </c>
      <c r="F318" t="s">
        <v>7</v>
      </c>
      <c r="G318" t="s">
        <v>8</v>
      </c>
      <c r="H318" s="4">
        <v>7</v>
      </c>
      <c r="I318" t="str">
        <f t="shared" si="4"/>
        <v>Achirus achirusDrab Sole</v>
      </c>
    </row>
    <row r="319" spans="1:9" x14ac:dyDescent="0.35">
      <c r="A319">
        <v>7</v>
      </c>
      <c r="B319">
        <v>2015</v>
      </c>
      <c r="C319">
        <v>12</v>
      </c>
      <c r="D319" t="s">
        <v>173</v>
      </c>
      <c r="E319" t="s">
        <v>348</v>
      </c>
      <c r="F319" t="s">
        <v>43</v>
      </c>
      <c r="G319" t="s">
        <v>57</v>
      </c>
      <c r="H319" s="4">
        <v>18</v>
      </c>
      <c r="I319" t="str">
        <f t="shared" si="4"/>
        <v>Cynoscion virescensSeatrout</v>
      </c>
    </row>
    <row r="320" spans="1:9" x14ac:dyDescent="0.35">
      <c r="A320">
        <v>7</v>
      </c>
      <c r="B320">
        <v>2015</v>
      </c>
      <c r="C320">
        <v>12</v>
      </c>
      <c r="D320" t="s">
        <v>173</v>
      </c>
      <c r="E320" t="s">
        <v>348</v>
      </c>
      <c r="F320" t="s">
        <v>43</v>
      </c>
      <c r="G320" t="s">
        <v>57</v>
      </c>
      <c r="H320" s="4">
        <v>20</v>
      </c>
      <c r="I320" t="str">
        <f t="shared" si="4"/>
        <v>Cynoscion virescensSeatrout</v>
      </c>
    </row>
    <row r="321" spans="1:9" x14ac:dyDescent="0.35">
      <c r="A321">
        <v>7</v>
      </c>
      <c r="B321">
        <v>2015</v>
      </c>
      <c r="C321">
        <v>12</v>
      </c>
      <c r="D321" t="s">
        <v>173</v>
      </c>
      <c r="E321" t="s">
        <v>348</v>
      </c>
      <c r="F321" t="s">
        <v>43</v>
      </c>
      <c r="G321" t="s">
        <v>57</v>
      </c>
      <c r="H321" s="4">
        <v>14</v>
      </c>
      <c r="I321" t="str">
        <f t="shared" si="4"/>
        <v>Cynoscion virescensSeatrout</v>
      </c>
    </row>
    <row r="322" spans="1:9" x14ac:dyDescent="0.35">
      <c r="A322">
        <v>7</v>
      </c>
      <c r="B322">
        <v>2015</v>
      </c>
      <c r="C322">
        <v>12</v>
      </c>
      <c r="D322" t="s">
        <v>173</v>
      </c>
      <c r="E322" t="s">
        <v>348</v>
      </c>
      <c r="F322" t="s">
        <v>43</v>
      </c>
      <c r="G322" t="s">
        <v>57</v>
      </c>
      <c r="H322" s="4">
        <v>31</v>
      </c>
      <c r="I322" t="str">
        <f t="shared" ref="I322:I385" si="5">CONCATENATE(F322,G322)</f>
        <v>Cynoscion virescensSeatrout</v>
      </c>
    </row>
    <row r="323" spans="1:9" x14ac:dyDescent="0.35">
      <c r="A323">
        <v>7</v>
      </c>
      <c r="B323">
        <v>2015</v>
      </c>
      <c r="C323">
        <v>12</v>
      </c>
      <c r="D323" t="s">
        <v>173</v>
      </c>
      <c r="E323" t="s">
        <v>348</v>
      </c>
      <c r="F323" t="s">
        <v>43</v>
      </c>
      <c r="G323" t="s">
        <v>57</v>
      </c>
      <c r="H323" s="4">
        <v>30</v>
      </c>
      <c r="I323" t="str">
        <f t="shared" si="5"/>
        <v>Cynoscion virescensSeatrout</v>
      </c>
    </row>
    <row r="324" spans="1:9" x14ac:dyDescent="0.35">
      <c r="A324">
        <v>7</v>
      </c>
      <c r="B324">
        <v>2015</v>
      </c>
      <c r="C324">
        <v>12</v>
      </c>
      <c r="D324" t="s">
        <v>173</v>
      </c>
      <c r="E324" t="s">
        <v>348</v>
      </c>
      <c r="F324" t="s">
        <v>43</v>
      </c>
      <c r="G324" t="s">
        <v>57</v>
      </c>
      <c r="H324" s="4">
        <v>18</v>
      </c>
      <c r="I324" t="str">
        <f t="shared" si="5"/>
        <v>Cynoscion virescensSeatrout</v>
      </c>
    </row>
    <row r="325" spans="1:9" x14ac:dyDescent="0.35">
      <c r="A325">
        <v>7</v>
      </c>
      <c r="B325">
        <v>2015</v>
      </c>
      <c r="C325">
        <v>12</v>
      </c>
      <c r="D325" t="s">
        <v>173</v>
      </c>
      <c r="E325" t="s">
        <v>348</v>
      </c>
      <c r="F325" t="s">
        <v>43</v>
      </c>
      <c r="G325" t="s">
        <v>57</v>
      </c>
      <c r="H325" s="4">
        <v>23</v>
      </c>
      <c r="I325" t="str">
        <f t="shared" si="5"/>
        <v>Cynoscion virescensSeatrout</v>
      </c>
    </row>
    <row r="326" spans="1:9" x14ac:dyDescent="0.35">
      <c r="A326">
        <v>7</v>
      </c>
      <c r="B326">
        <v>2015</v>
      </c>
      <c r="C326">
        <v>12</v>
      </c>
      <c r="D326" t="s">
        <v>173</v>
      </c>
      <c r="E326" t="s">
        <v>348</v>
      </c>
      <c r="F326" t="s">
        <v>43</v>
      </c>
      <c r="G326" t="s">
        <v>57</v>
      </c>
      <c r="H326" s="4">
        <v>16</v>
      </c>
      <c r="I326" t="str">
        <f t="shared" si="5"/>
        <v>Cynoscion virescensSeatrout</v>
      </c>
    </row>
    <row r="327" spans="1:9" x14ac:dyDescent="0.35">
      <c r="A327">
        <v>7</v>
      </c>
      <c r="B327">
        <v>2015</v>
      </c>
      <c r="C327">
        <v>12</v>
      </c>
      <c r="D327" t="s">
        <v>173</v>
      </c>
      <c r="E327" t="s">
        <v>348</v>
      </c>
      <c r="F327" t="s">
        <v>43</v>
      </c>
      <c r="G327" t="s">
        <v>57</v>
      </c>
      <c r="H327" s="4">
        <v>15</v>
      </c>
      <c r="I327" t="str">
        <f t="shared" si="5"/>
        <v>Cynoscion virescensSeatrout</v>
      </c>
    </row>
    <row r="328" spans="1:9" x14ac:dyDescent="0.35">
      <c r="A328">
        <v>7</v>
      </c>
      <c r="B328">
        <v>2015</v>
      </c>
      <c r="C328">
        <v>12</v>
      </c>
      <c r="D328" t="s">
        <v>173</v>
      </c>
      <c r="E328" t="s">
        <v>348</v>
      </c>
      <c r="F328" t="s">
        <v>43</v>
      </c>
      <c r="G328" t="s">
        <v>57</v>
      </c>
      <c r="H328" s="4">
        <v>15</v>
      </c>
      <c r="I328" t="str">
        <f t="shared" si="5"/>
        <v>Cynoscion virescensSeatrout</v>
      </c>
    </row>
    <row r="329" spans="1:9" x14ac:dyDescent="0.35">
      <c r="A329">
        <v>7</v>
      </c>
      <c r="B329">
        <v>2015</v>
      </c>
      <c r="C329">
        <v>12</v>
      </c>
      <c r="D329" t="s">
        <v>173</v>
      </c>
      <c r="E329" t="s">
        <v>348</v>
      </c>
      <c r="F329" t="s">
        <v>350</v>
      </c>
      <c r="G329" t="s">
        <v>12</v>
      </c>
      <c r="H329" s="4">
        <v>30</v>
      </c>
      <c r="I329" t="str">
        <f t="shared" si="5"/>
        <v>Batrachoides  surinamensisPacu</v>
      </c>
    </row>
    <row r="330" spans="1:9" x14ac:dyDescent="0.35">
      <c r="A330">
        <v>7</v>
      </c>
      <c r="B330">
        <v>2015</v>
      </c>
      <c r="C330">
        <v>12</v>
      </c>
      <c r="D330" t="s">
        <v>173</v>
      </c>
      <c r="E330" t="s">
        <v>348</v>
      </c>
      <c r="F330" t="s">
        <v>350</v>
      </c>
      <c r="G330" t="s">
        <v>12</v>
      </c>
      <c r="H330" s="4">
        <v>9</v>
      </c>
      <c r="I330" t="str">
        <f t="shared" si="5"/>
        <v>Batrachoides  surinamensisPacu</v>
      </c>
    </row>
    <row r="331" spans="1:9" x14ac:dyDescent="0.35">
      <c r="A331">
        <v>7</v>
      </c>
      <c r="B331">
        <v>2015</v>
      </c>
      <c r="C331">
        <v>12</v>
      </c>
      <c r="D331" t="s">
        <v>173</v>
      </c>
      <c r="E331" t="s">
        <v>348</v>
      </c>
      <c r="F331" t="s">
        <v>283</v>
      </c>
      <c r="G331" t="s">
        <v>284</v>
      </c>
      <c r="H331" s="4">
        <v>9</v>
      </c>
      <c r="I331" t="str">
        <f t="shared" si="5"/>
        <v>Paralonchurus braziliensisBanded croaker</v>
      </c>
    </row>
    <row r="332" spans="1:9" x14ac:dyDescent="0.35">
      <c r="A332">
        <v>7</v>
      </c>
      <c r="B332">
        <v>2015</v>
      </c>
      <c r="C332">
        <v>12</v>
      </c>
      <c r="D332" t="s">
        <v>173</v>
      </c>
      <c r="E332" t="s">
        <v>348</v>
      </c>
      <c r="F332" t="s">
        <v>283</v>
      </c>
      <c r="G332" t="s">
        <v>284</v>
      </c>
      <c r="H332" s="4">
        <v>10</v>
      </c>
      <c r="I332" t="str">
        <f t="shared" si="5"/>
        <v>Paralonchurus braziliensisBanded croaker</v>
      </c>
    </row>
    <row r="333" spans="1:9" x14ac:dyDescent="0.35">
      <c r="A333">
        <v>7</v>
      </c>
      <c r="B333">
        <v>2015</v>
      </c>
      <c r="C333">
        <v>12</v>
      </c>
      <c r="D333" t="s">
        <v>173</v>
      </c>
      <c r="E333" t="s">
        <v>348</v>
      </c>
      <c r="F333" t="s">
        <v>283</v>
      </c>
      <c r="G333" t="s">
        <v>284</v>
      </c>
      <c r="H333" s="4">
        <v>9</v>
      </c>
      <c r="I333" t="str">
        <f t="shared" si="5"/>
        <v>Paralonchurus braziliensisBanded croaker</v>
      </c>
    </row>
    <row r="334" spans="1:9" x14ac:dyDescent="0.35">
      <c r="A334">
        <v>7</v>
      </c>
      <c r="B334">
        <v>2015</v>
      </c>
      <c r="C334">
        <v>12</v>
      </c>
      <c r="D334" t="s">
        <v>173</v>
      </c>
      <c r="E334" t="s">
        <v>348</v>
      </c>
      <c r="F334" t="s">
        <v>283</v>
      </c>
      <c r="G334" t="s">
        <v>284</v>
      </c>
      <c r="H334" s="4">
        <v>7</v>
      </c>
      <c r="I334" t="str">
        <f t="shared" si="5"/>
        <v>Paralonchurus braziliensisBanded croaker</v>
      </c>
    </row>
    <row r="335" spans="1:9" x14ac:dyDescent="0.35">
      <c r="A335">
        <v>7</v>
      </c>
      <c r="B335">
        <v>2015</v>
      </c>
      <c r="C335">
        <v>12</v>
      </c>
      <c r="D335" t="s">
        <v>173</v>
      </c>
      <c r="E335" t="s">
        <v>348</v>
      </c>
      <c r="F335" t="s">
        <v>283</v>
      </c>
      <c r="G335" t="s">
        <v>284</v>
      </c>
      <c r="H335" s="4">
        <v>8</v>
      </c>
      <c r="I335" t="str">
        <f t="shared" si="5"/>
        <v>Paralonchurus braziliensisBanded croaker</v>
      </c>
    </row>
    <row r="336" spans="1:9" x14ac:dyDescent="0.35">
      <c r="A336">
        <v>7</v>
      </c>
      <c r="B336">
        <v>2015</v>
      </c>
      <c r="C336">
        <v>12</v>
      </c>
      <c r="D336" t="s">
        <v>173</v>
      </c>
      <c r="E336" t="s">
        <v>348</v>
      </c>
      <c r="F336" t="s">
        <v>283</v>
      </c>
      <c r="G336" t="s">
        <v>284</v>
      </c>
      <c r="H336" s="4">
        <v>9</v>
      </c>
      <c r="I336" t="str">
        <f t="shared" si="5"/>
        <v>Paralonchurus braziliensisBanded croaker</v>
      </c>
    </row>
    <row r="337" spans="1:9" x14ac:dyDescent="0.35">
      <c r="A337">
        <v>7</v>
      </c>
      <c r="B337">
        <v>2015</v>
      </c>
      <c r="C337">
        <v>12</v>
      </c>
      <c r="D337" t="s">
        <v>173</v>
      </c>
      <c r="E337" t="s">
        <v>348</v>
      </c>
      <c r="F337" t="s">
        <v>283</v>
      </c>
      <c r="G337" t="s">
        <v>284</v>
      </c>
      <c r="H337" s="4">
        <v>10</v>
      </c>
      <c r="I337" t="str">
        <f t="shared" si="5"/>
        <v>Paralonchurus braziliensisBanded croaker</v>
      </c>
    </row>
    <row r="338" spans="1:9" x14ac:dyDescent="0.35">
      <c r="A338">
        <v>7</v>
      </c>
      <c r="B338">
        <v>2015</v>
      </c>
      <c r="C338">
        <v>12</v>
      </c>
      <c r="D338" t="s">
        <v>173</v>
      </c>
      <c r="E338" t="s">
        <v>348</v>
      </c>
      <c r="F338" t="s">
        <v>283</v>
      </c>
      <c r="G338" t="s">
        <v>284</v>
      </c>
      <c r="H338" s="4">
        <v>12</v>
      </c>
      <c r="I338" t="str">
        <f t="shared" si="5"/>
        <v>Paralonchurus braziliensisBanded croaker</v>
      </c>
    </row>
    <row r="339" spans="1:9" x14ac:dyDescent="0.35">
      <c r="A339">
        <v>7</v>
      </c>
      <c r="B339">
        <v>2015</v>
      </c>
      <c r="C339">
        <v>12</v>
      </c>
      <c r="D339" t="s">
        <v>173</v>
      </c>
      <c r="E339" t="s">
        <v>348</v>
      </c>
      <c r="F339" t="s">
        <v>283</v>
      </c>
      <c r="G339" t="s">
        <v>284</v>
      </c>
      <c r="H339" s="4">
        <v>10</v>
      </c>
      <c r="I339" t="str">
        <f t="shared" si="5"/>
        <v>Paralonchurus braziliensisBanded croaker</v>
      </c>
    </row>
    <row r="340" spans="1:9" x14ac:dyDescent="0.35">
      <c r="A340">
        <v>7</v>
      </c>
      <c r="B340">
        <v>2015</v>
      </c>
      <c r="C340">
        <v>12</v>
      </c>
      <c r="D340" t="s">
        <v>173</v>
      </c>
      <c r="E340" t="s">
        <v>348</v>
      </c>
      <c r="F340" t="s">
        <v>283</v>
      </c>
      <c r="G340" t="s">
        <v>284</v>
      </c>
      <c r="H340" s="4">
        <v>11</v>
      </c>
      <c r="I340" t="str">
        <f t="shared" si="5"/>
        <v>Paralonchurus braziliensisBanded croaker</v>
      </c>
    </row>
    <row r="341" spans="1:9" x14ac:dyDescent="0.35">
      <c r="A341">
        <v>7</v>
      </c>
      <c r="B341">
        <v>2015</v>
      </c>
      <c r="C341">
        <v>12</v>
      </c>
      <c r="D341" t="s">
        <v>173</v>
      </c>
      <c r="E341" t="s">
        <v>348</v>
      </c>
      <c r="F341" t="s">
        <v>42</v>
      </c>
      <c r="G341" t="s">
        <v>126</v>
      </c>
      <c r="H341" s="4">
        <v>28</v>
      </c>
      <c r="I341" t="str">
        <f t="shared" si="5"/>
        <v>Paralonchurus  elegansChinese Butterfish</v>
      </c>
    </row>
    <row r="342" spans="1:9" x14ac:dyDescent="0.35">
      <c r="A342">
        <v>7</v>
      </c>
      <c r="B342">
        <v>2015</v>
      </c>
      <c r="C342">
        <v>12</v>
      </c>
      <c r="D342" t="s">
        <v>173</v>
      </c>
      <c r="E342" t="s">
        <v>348</v>
      </c>
      <c r="F342" t="s">
        <v>42</v>
      </c>
      <c r="G342" t="s">
        <v>126</v>
      </c>
      <c r="H342" s="4">
        <v>27</v>
      </c>
      <c r="I342" t="str">
        <f t="shared" si="5"/>
        <v>Paralonchurus  elegansChinese Butterfish</v>
      </c>
    </row>
    <row r="343" spans="1:9" x14ac:dyDescent="0.35">
      <c r="A343">
        <v>7</v>
      </c>
      <c r="B343">
        <v>2015</v>
      </c>
      <c r="C343">
        <v>12</v>
      </c>
      <c r="D343" t="s">
        <v>173</v>
      </c>
      <c r="E343" t="s">
        <v>348</v>
      </c>
      <c r="F343" t="s">
        <v>42</v>
      </c>
      <c r="G343" t="s">
        <v>126</v>
      </c>
      <c r="H343" s="4">
        <v>27</v>
      </c>
      <c r="I343" t="str">
        <f t="shared" si="5"/>
        <v>Paralonchurus  elegansChinese Butterfish</v>
      </c>
    </row>
    <row r="344" spans="1:9" x14ac:dyDescent="0.35">
      <c r="A344">
        <v>7</v>
      </c>
      <c r="B344">
        <v>2015</v>
      </c>
      <c r="C344">
        <v>12</v>
      </c>
      <c r="D344" t="s">
        <v>173</v>
      </c>
      <c r="E344" t="s">
        <v>348</v>
      </c>
      <c r="F344" t="s">
        <v>15</v>
      </c>
      <c r="G344" t="s">
        <v>16</v>
      </c>
      <c r="H344" s="4">
        <v>25</v>
      </c>
      <c r="I344" t="str">
        <f t="shared" si="5"/>
        <v>Nebris micropsButterfish</v>
      </c>
    </row>
    <row r="345" spans="1:9" x14ac:dyDescent="0.35">
      <c r="A345">
        <v>7</v>
      </c>
      <c r="B345">
        <v>2015</v>
      </c>
      <c r="C345">
        <v>12</v>
      </c>
      <c r="D345" t="s">
        <v>173</v>
      </c>
      <c r="E345" t="s">
        <v>348</v>
      </c>
      <c r="F345" t="s">
        <v>15</v>
      </c>
      <c r="G345" t="s">
        <v>16</v>
      </c>
      <c r="H345" s="4">
        <v>22</v>
      </c>
      <c r="I345" t="str">
        <f t="shared" si="5"/>
        <v>Nebris micropsButterfish</v>
      </c>
    </row>
    <row r="346" spans="1:9" x14ac:dyDescent="0.35">
      <c r="A346">
        <v>7</v>
      </c>
      <c r="B346">
        <v>2015</v>
      </c>
      <c r="C346">
        <v>12</v>
      </c>
      <c r="D346" t="s">
        <v>173</v>
      </c>
      <c r="E346" t="s">
        <v>348</v>
      </c>
      <c r="F346" t="s">
        <v>15</v>
      </c>
      <c r="G346" t="s">
        <v>16</v>
      </c>
      <c r="H346" s="4">
        <v>24</v>
      </c>
      <c r="I346" t="str">
        <f t="shared" si="5"/>
        <v>Nebris micropsButterfish</v>
      </c>
    </row>
    <row r="347" spans="1:9" x14ac:dyDescent="0.35">
      <c r="A347">
        <v>7</v>
      </c>
      <c r="B347">
        <v>2015</v>
      </c>
      <c r="C347">
        <v>12</v>
      </c>
      <c r="D347" t="s">
        <v>173</v>
      </c>
      <c r="E347" t="s">
        <v>348</v>
      </c>
      <c r="F347" t="s">
        <v>15</v>
      </c>
      <c r="G347" t="s">
        <v>16</v>
      </c>
      <c r="H347" s="4">
        <v>23</v>
      </c>
      <c r="I347" t="str">
        <f t="shared" si="5"/>
        <v>Nebris micropsButterfish</v>
      </c>
    </row>
    <row r="348" spans="1:9" x14ac:dyDescent="0.35">
      <c r="A348">
        <v>7</v>
      </c>
      <c r="B348">
        <v>2015</v>
      </c>
      <c r="C348">
        <v>12</v>
      </c>
      <c r="D348" t="s">
        <v>173</v>
      </c>
      <c r="E348" t="s">
        <v>348</v>
      </c>
      <c r="F348" t="s">
        <v>15</v>
      </c>
      <c r="G348" t="s">
        <v>16</v>
      </c>
      <c r="H348" s="4">
        <v>32</v>
      </c>
      <c r="I348" t="str">
        <f t="shared" si="5"/>
        <v>Nebris micropsButterfish</v>
      </c>
    </row>
    <row r="349" spans="1:9" x14ac:dyDescent="0.35">
      <c r="A349">
        <v>7</v>
      </c>
      <c r="B349">
        <v>2015</v>
      </c>
      <c r="C349">
        <v>12</v>
      </c>
      <c r="D349" t="s">
        <v>173</v>
      </c>
      <c r="E349" t="s">
        <v>348</v>
      </c>
      <c r="F349" t="s">
        <v>15</v>
      </c>
      <c r="G349" t="s">
        <v>16</v>
      </c>
      <c r="H349" s="4">
        <v>20</v>
      </c>
      <c r="I349" t="str">
        <f t="shared" si="5"/>
        <v>Nebris micropsButterfish</v>
      </c>
    </row>
    <row r="350" spans="1:9" x14ac:dyDescent="0.35">
      <c r="A350">
        <v>7</v>
      </c>
      <c r="B350">
        <v>2015</v>
      </c>
      <c r="C350">
        <v>12</v>
      </c>
      <c r="D350" t="s">
        <v>173</v>
      </c>
      <c r="E350" t="s">
        <v>348</v>
      </c>
      <c r="F350" t="s">
        <v>15</v>
      </c>
      <c r="G350" t="s">
        <v>16</v>
      </c>
      <c r="H350" s="4">
        <v>24</v>
      </c>
      <c r="I350" t="str">
        <f t="shared" si="5"/>
        <v>Nebris micropsButterfish</v>
      </c>
    </row>
    <row r="351" spans="1:9" x14ac:dyDescent="0.35">
      <c r="A351">
        <v>7</v>
      </c>
      <c r="B351">
        <v>2015</v>
      </c>
      <c r="C351">
        <v>12</v>
      </c>
      <c r="D351" t="s">
        <v>173</v>
      </c>
      <c r="E351" t="s">
        <v>348</v>
      </c>
      <c r="F351" t="s">
        <v>15</v>
      </c>
      <c r="G351" t="s">
        <v>16</v>
      </c>
      <c r="H351" s="4">
        <v>17</v>
      </c>
      <c r="I351" t="str">
        <f t="shared" si="5"/>
        <v>Nebris micropsButterfish</v>
      </c>
    </row>
    <row r="352" spans="1:9" x14ac:dyDescent="0.35">
      <c r="A352">
        <v>7</v>
      </c>
      <c r="B352">
        <v>2015</v>
      </c>
      <c r="C352">
        <v>12</v>
      </c>
      <c r="D352" t="s">
        <v>173</v>
      </c>
      <c r="E352" t="s">
        <v>348</v>
      </c>
      <c r="F352" t="s">
        <v>15</v>
      </c>
      <c r="G352" t="s">
        <v>16</v>
      </c>
      <c r="H352" s="4">
        <v>24</v>
      </c>
      <c r="I352" t="str">
        <f t="shared" si="5"/>
        <v>Nebris micropsButterfish</v>
      </c>
    </row>
    <row r="353" spans="1:9" x14ac:dyDescent="0.35">
      <c r="A353">
        <v>7</v>
      </c>
      <c r="B353">
        <v>2015</v>
      </c>
      <c r="C353">
        <v>12</v>
      </c>
      <c r="D353" t="s">
        <v>173</v>
      </c>
      <c r="E353" t="s">
        <v>348</v>
      </c>
      <c r="F353" t="s">
        <v>15</v>
      </c>
      <c r="G353" t="s">
        <v>16</v>
      </c>
      <c r="H353" s="4">
        <v>26</v>
      </c>
      <c r="I353" t="str">
        <f t="shared" si="5"/>
        <v>Nebris micropsButterfish</v>
      </c>
    </row>
    <row r="354" spans="1:9" x14ac:dyDescent="0.35">
      <c r="A354">
        <v>7</v>
      </c>
      <c r="B354">
        <v>2015</v>
      </c>
      <c r="C354">
        <v>12</v>
      </c>
      <c r="D354" t="s">
        <v>173</v>
      </c>
      <c r="E354" t="s">
        <v>348</v>
      </c>
      <c r="F354" t="s">
        <v>17</v>
      </c>
      <c r="G354" t="s">
        <v>34</v>
      </c>
      <c r="H354" s="4">
        <v>31</v>
      </c>
      <c r="I354" t="str">
        <f t="shared" si="5"/>
        <v>Larimus brevicepsSilver Snapper</v>
      </c>
    </row>
    <row r="355" spans="1:9" x14ac:dyDescent="0.35">
      <c r="A355">
        <v>7</v>
      </c>
      <c r="B355">
        <v>2015</v>
      </c>
      <c r="C355">
        <v>12</v>
      </c>
      <c r="D355" t="s">
        <v>173</v>
      </c>
      <c r="E355" t="s">
        <v>348</v>
      </c>
      <c r="F355" t="s">
        <v>40</v>
      </c>
      <c r="G355" t="s">
        <v>35</v>
      </c>
      <c r="H355" s="4">
        <v>22</v>
      </c>
      <c r="I355" t="str">
        <f t="shared" si="5"/>
        <v>Macrodon ancylodonBangamary</v>
      </c>
    </row>
    <row r="356" spans="1:9" x14ac:dyDescent="0.35">
      <c r="A356">
        <v>7</v>
      </c>
      <c r="B356">
        <v>2015</v>
      </c>
      <c r="C356">
        <v>12</v>
      </c>
      <c r="D356" t="s">
        <v>173</v>
      </c>
      <c r="E356" t="s">
        <v>348</v>
      </c>
      <c r="F356" t="s">
        <v>40</v>
      </c>
      <c r="G356" t="s">
        <v>35</v>
      </c>
      <c r="H356" s="4">
        <v>16</v>
      </c>
      <c r="I356" t="str">
        <f t="shared" si="5"/>
        <v>Macrodon ancylodonBangamary</v>
      </c>
    </row>
    <row r="357" spans="1:9" x14ac:dyDescent="0.35">
      <c r="A357">
        <v>7</v>
      </c>
      <c r="B357">
        <v>2015</v>
      </c>
      <c r="C357">
        <v>12</v>
      </c>
      <c r="D357" t="s">
        <v>173</v>
      </c>
      <c r="E357" t="s">
        <v>348</v>
      </c>
      <c r="F357" t="s">
        <v>40</v>
      </c>
      <c r="G357" t="s">
        <v>35</v>
      </c>
      <c r="H357" s="4">
        <v>18</v>
      </c>
      <c r="I357" t="str">
        <f t="shared" si="5"/>
        <v>Macrodon ancylodonBangamary</v>
      </c>
    </row>
    <row r="358" spans="1:9" x14ac:dyDescent="0.35">
      <c r="A358">
        <v>7</v>
      </c>
      <c r="B358">
        <v>2015</v>
      </c>
      <c r="C358">
        <v>12</v>
      </c>
      <c r="D358" t="s">
        <v>173</v>
      </c>
      <c r="E358" t="s">
        <v>348</v>
      </c>
      <c r="F358" t="s">
        <v>40</v>
      </c>
      <c r="G358" t="s">
        <v>35</v>
      </c>
      <c r="H358" s="4">
        <v>14</v>
      </c>
      <c r="I358" t="str">
        <f t="shared" si="5"/>
        <v>Macrodon ancylodonBangamary</v>
      </c>
    </row>
    <row r="359" spans="1:9" x14ac:dyDescent="0.35">
      <c r="A359">
        <v>7</v>
      </c>
      <c r="B359">
        <v>2015</v>
      </c>
      <c r="C359">
        <v>12</v>
      </c>
      <c r="D359" t="s">
        <v>173</v>
      </c>
      <c r="E359" t="s">
        <v>348</v>
      </c>
      <c r="F359" t="s">
        <v>40</v>
      </c>
      <c r="G359" t="s">
        <v>35</v>
      </c>
      <c r="H359" s="4">
        <v>27</v>
      </c>
      <c r="I359" t="str">
        <f t="shared" si="5"/>
        <v>Macrodon ancylodonBangamary</v>
      </c>
    </row>
    <row r="360" spans="1:9" x14ac:dyDescent="0.35">
      <c r="A360">
        <v>7</v>
      </c>
      <c r="B360">
        <v>2015</v>
      </c>
      <c r="C360">
        <v>12</v>
      </c>
      <c r="D360" t="s">
        <v>173</v>
      </c>
      <c r="E360" t="s">
        <v>348</v>
      </c>
      <c r="F360" t="s">
        <v>40</v>
      </c>
      <c r="G360" t="s">
        <v>35</v>
      </c>
      <c r="H360" s="4">
        <v>18</v>
      </c>
      <c r="I360" t="str">
        <f t="shared" si="5"/>
        <v>Macrodon ancylodonBangamary</v>
      </c>
    </row>
    <row r="361" spans="1:9" x14ac:dyDescent="0.35">
      <c r="A361">
        <v>7</v>
      </c>
      <c r="B361">
        <v>2015</v>
      </c>
      <c r="C361">
        <v>12</v>
      </c>
      <c r="D361" t="s">
        <v>173</v>
      </c>
      <c r="E361" t="s">
        <v>348</v>
      </c>
      <c r="F361" t="s">
        <v>40</v>
      </c>
      <c r="G361" t="s">
        <v>35</v>
      </c>
      <c r="H361" s="4">
        <v>19</v>
      </c>
      <c r="I361" t="str">
        <f t="shared" si="5"/>
        <v>Macrodon ancylodonBangamary</v>
      </c>
    </row>
    <row r="362" spans="1:9" x14ac:dyDescent="0.35">
      <c r="A362">
        <v>7</v>
      </c>
      <c r="B362">
        <v>2015</v>
      </c>
      <c r="C362">
        <v>12</v>
      </c>
      <c r="D362" t="s">
        <v>173</v>
      </c>
      <c r="E362" t="s">
        <v>348</v>
      </c>
      <c r="F362" t="s">
        <v>40</v>
      </c>
      <c r="G362" t="s">
        <v>35</v>
      </c>
      <c r="H362" s="4">
        <v>16</v>
      </c>
      <c r="I362" t="str">
        <f t="shared" si="5"/>
        <v>Macrodon ancylodonBangamary</v>
      </c>
    </row>
    <row r="363" spans="1:9" x14ac:dyDescent="0.35">
      <c r="A363">
        <v>7</v>
      </c>
      <c r="B363">
        <v>2015</v>
      </c>
      <c r="C363">
        <v>12</v>
      </c>
      <c r="D363" t="s">
        <v>173</v>
      </c>
      <c r="E363" t="s">
        <v>348</v>
      </c>
      <c r="F363" t="s">
        <v>40</v>
      </c>
      <c r="G363" t="s">
        <v>35</v>
      </c>
      <c r="H363" s="4">
        <v>17</v>
      </c>
      <c r="I363" t="str">
        <f t="shared" si="5"/>
        <v>Macrodon ancylodonBangamary</v>
      </c>
    </row>
    <row r="364" spans="1:9" x14ac:dyDescent="0.35">
      <c r="A364">
        <v>7</v>
      </c>
      <c r="B364">
        <v>2015</v>
      </c>
      <c r="C364">
        <v>12</v>
      </c>
      <c r="D364" t="s">
        <v>173</v>
      </c>
      <c r="E364" t="s">
        <v>348</v>
      </c>
      <c r="F364" t="s">
        <v>40</v>
      </c>
      <c r="G364" t="s">
        <v>35</v>
      </c>
      <c r="H364" s="4">
        <v>8</v>
      </c>
      <c r="I364" t="str">
        <f t="shared" si="5"/>
        <v>Macrodon ancylodonBangamary</v>
      </c>
    </row>
    <row r="365" spans="1:9" x14ac:dyDescent="0.35">
      <c r="A365">
        <v>7</v>
      </c>
      <c r="B365">
        <v>2015</v>
      </c>
      <c r="C365">
        <v>12</v>
      </c>
      <c r="D365" t="s">
        <v>173</v>
      </c>
      <c r="E365" t="s">
        <v>348</v>
      </c>
      <c r="F365" t="s">
        <v>21</v>
      </c>
      <c r="G365" t="s">
        <v>59</v>
      </c>
      <c r="H365" s="4">
        <v>13</v>
      </c>
      <c r="I365" t="str">
        <f t="shared" si="5"/>
        <v>Stellifer micropsRockhead</v>
      </c>
    </row>
    <row r="366" spans="1:9" x14ac:dyDescent="0.35">
      <c r="A366">
        <v>7</v>
      </c>
      <c r="B366">
        <v>2015</v>
      </c>
      <c r="C366">
        <v>12</v>
      </c>
      <c r="D366" t="s">
        <v>173</v>
      </c>
      <c r="E366" t="s">
        <v>348</v>
      </c>
      <c r="F366" t="s">
        <v>21</v>
      </c>
      <c r="G366" t="s">
        <v>59</v>
      </c>
      <c r="H366" s="4">
        <v>10</v>
      </c>
      <c r="I366" t="str">
        <f t="shared" si="5"/>
        <v>Stellifer micropsRockhead</v>
      </c>
    </row>
    <row r="367" spans="1:9" x14ac:dyDescent="0.35">
      <c r="A367">
        <v>7</v>
      </c>
      <c r="B367">
        <v>2015</v>
      </c>
      <c r="C367">
        <v>12</v>
      </c>
      <c r="D367" t="s">
        <v>173</v>
      </c>
      <c r="E367" t="s">
        <v>348</v>
      </c>
      <c r="F367" t="s">
        <v>21</v>
      </c>
      <c r="G367" t="s">
        <v>59</v>
      </c>
      <c r="H367" s="4">
        <v>11</v>
      </c>
      <c r="I367" t="str">
        <f t="shared" si="5"/>
        <v>Stellifer micropsRockhead</v>
      </c>
    </row>
    <row r="368" spans="1:9" x14ac:dyDescent="0.35">
      <c r="A368">
        <v>7</v>
      </c>
      <c r="B368">
        <v>2015</v>
      </c>
      <c r="C368">
        <v>12</v>
      </c>
      <c r="D368" t="s">
        <v>173</v>
      </c>
      <c r="E368" t="s">
        <v>348</v>
      </c>
      <c r="F368" t="s">
        <v>21</v>
      </c>
      <c r="G368" t="s">
        <v>59</v>
      </c>
      <c r="H368" s="4">
        <v>11</v>
      </c>
      <c r="I368" t="str">
        <f t="shared" si="5"/>
        <v>Stellifer micropsRockhead</v>
      </c>
    </row>
    <row r="369" spans="1:9" x14ac:dyDescent="0.35">
      <c r="A369">
        <v>7</v>
      </c>
      <c r="B369">
        <v>2015</v>
      </c>
      <c r="C369">
        <v>12</v>
      </c>
      <c r="D369" t="s">
        <v>173</v>
      </c>
      <c r="E369" t="s">
        <v>348</v>
      </c>
      <c r="F369" t="s">
        <v>21</v>
      </c>
      <c r="G369" t="s">
        <v>59</v>
      </c>
      <c r="H369" s="4">
        <v>12</v>
      </c>
      <c r="I369" t="str">
        <f t="shared" si="5"/>
        <v>Stellifer micropsRockhead</v>
      </c>
    </row>
    <row r="370" spans="1:9" x14ac:dyDescent="0.35">
      <c r="A370">
        <v>7</v>
      </c>
      <c r="B370">
        <v>2015</v>
      </c>
      <c r="C370">
        <v>12</v>
      </c>
      <c r="D370" t="s">
        <v>173</v>
      </c>
      <c r="E370" t="s">
        <v>348</v>
      </c>
      <c r="F370" t="s">
        <v>21</v>
      </c>
      <c r="G370" t="s">
        <v>59</v>
      </c>
      <c r="H370" s="4">
        <v>12</v>
      </c>
      <c r="I370" t="str">
        <f t="shared" si="5"/>
        <v>Stellifer micropsRockhead</v>
      </c>
    </row>
    <row r="371" spans="1:9" x14ac:dyDescent="0.35">
      <c r="A371">
        <v>7</v>
      </c>
      <c r="B371">
        <v>2015</v>
      </c>
      <c r="C371">
        <v>12</v>
      </c>
      <c r="D371" t="s">
        <v>173</v>
      </c>
      <c r="E371" t="s">
        <v>348</v>
      </c>
      <c r="F371" t="s">
        <v>21</v>
      </c>
      <c r="G371" t="s">
        <v>59</v>
      </c>
      <c r="H371" s="4">
        <v>12</v>
      </c>
      <c r="I371" t="str">
        <f t="shared" si="5"/>
        <v>Stellifer micropsRockhead</v>
      </c>
    </row>
    <row r="372" spans="1:9" x14ac:dyDescent="0.35">
      <c r="A372">
        <v>7</v>
      </c>
      <c r="B372">
        <v>2015</v>
      </c>
      <c r="C372">
        <v>12</v>
      </c>
      <c r="D372" t="s">
        <v>173</v>
      </c>
      <c r="E372" t="s">
        <v>348</v>
      </c>
      <c r="F372" t="s">
        <v>21</v>
      </c>
      <c r="G372" t="s">
        <v>59</v>
      </c>
      <c r="H372" s="4">
        <v>16</v>
      </c>
      <c r="I372" t="str">
        <f t="shared" si="5"/>
        <v>Stellifer micropsRockhead</v>
      </c>
    </row>
    <row r="373" spans="1:9" x14ac:dyDescent="0.35">
      <c r="A373">
        <v>7</v>
      </c>
      <c r="B373">
        <v>2015</v>
      </c>
      <c r="C373">
        <v>12</v>
      </c>
      <c r="D373" t="s">
        <v>173</v>
      </c>
      <c r="E373" t="s">
        <v>348</v>
      </c>
      <c r="F373" t="s">
        <v>21</v>
      </c>
      <c r="G373" t="s">
        <v>59</v>
      </c>
      <c r="H373" s="4">
        <v>15</v>
      </c>
      <c r="I373" t="str">
        <f t="shared" si="5"/>
        <v>Stellifer micropsRockhead</v>
      </c>
    </row>
    <row r="374" spans="1:9" x14ac:dyDescent="0.35">
      <c r="A374">
        <v>7</v>
      </c>
      <c r="B374">
        <v>2015</v>
      </c>
      <c r="C374">
        <v>12</v>
      </c>
      <c r="D374" t="s">
        <v>173</v>
      </c>
      <c r="E374" t="s">
        <v>348</v>
      </c>
      <c r="F374" t="s">
        <v>21</v>
      </c>
      <c r="G374" t="s">
        <v>59</v>
      </c>
      <c r="H374" s="4">
        <v>11</v>
      </c>
      <c r="I374" t="str">
        <f t="shared" si="5"/>
        <v>Stellifer micropsRockhead</v>
      </c>
    </row>
    <row r="375" spans="1:9" x14ac:dyDescent="0.35">
      <c r="A375">
        <v>7</v>
      </c>
      <c r="B375">
        <v>2015</v>
      </c>
      <c r="C375">
        <v>12</v>
      </c>
      <c r="D375" t="s">
        <v>173</v>
      </c>
      <c r="E375" t="s">
        <v>348</v>
      </c>
      <c r="F375" t="s">
        <v>3</v>
      </c>
      <c r="G375" t="s">
        <v>32</v>
      </c>
      <c r="H375" s="4">
        <v>58</v>
      </c>
      <c r="I375" t="str">
        <f t="shared" si="5"/>
        <v>Ophichtus gomesiShrimp Eel</v>
      </c>
    </row>
    <row r="376" spans="1:9" x14ac:dyDescent="0.35">
      <c r="A376">
        <v>7</v>
      </c>
      <c r="B376">
        <v>2015</v>
      </c>
      <c r="C376">
        <v>12</v>
      </c>
      <c r="D376" t="s">
        <v>173</v>
      </c>
      <c r="E376" t="s">
        <v>348</v>
      </c>
      <c r="F376" t="s">
        <v>3</v>
      </c>
      <c r="G376" t="s">
        <v>32</v>
      </c>
      <c r="H376" s="4">
        <v>49</v>
      </c>
      <c r="I376" t="str">
        <f t="shared" si="5"/>
        <v>Ophichtus gomesiShrimp Eel</v>
      </c>
    </row>
    <row r="377" spans="1:9" x14ac:dyDescent="0.35">
      <c r="A377">
        <v>9</v>
      </c>
      <c r="B377">
        <v>2016</v>
      </c>
      <c r="C377">
        <v>2</v>
      </c>
      <c r="D377" t="s">
        <v>173</v>
      </c>
      <c r="E377" t="s">
        <v>348</v>
      </c>
      <c r="F377" t="s">
        <v>1</v>
      </c>
      <c r="G377" t="s">
        <v>291</v>
      </c>
      <c r="H377" s="4">
        <v>50</v>
      </c>
      <c r="I377" t="str">
        <f t="shared" si="5"/>
        <v>Dastyis guttataLongnose stingray</v>
      </c>
    </row>
    <row r="378" spans="1:9" x14ac:dyDescent="0.35">
      <c r="A378">
        <v>9</v>
      </c>
      <c r="B378">
        <v>2016</v>
      </c>
      <c r="C378">
        <v>2</v>
      </c>
      <c r="D378" t="s">
        <v>173</v>
      </c>
      <c r="E378" t="s">
        <v>348</v>
      </c>
      <c r="F378" t="s">
        <v>2</v>
      </c>
      <c r="G378" t="s">
        <v>307</v>
      </c>
      <c r="H378" s="4">
        <v>28</v>
      </c>
      <c r="I378" t="str">
        <f t="shared" si="5"/>
        <v>Gymnura micruraButterfly stingray</v>
      </c>
    </row>
    <row r="379" spans="1:9" x14ac:dyDescent="0.35">
      <c r="A379">
        <v>9</v>
      </c>
      <c r="B379">
        <v>2016</v>
      </c>
      <c r="C379">
        <v>2</v>
      </c>
      <c r="D379" t="s">
        <v>173</v>
      </c>
      <c r="E379" t="s">
        <v>348</v>
      </c>
      <c r="F379" t="s">
        <v>129</v>
      </c>
      <c r="G379" t="s">
        <v>306</v>
      </c>
      <c r="H379" s="4">
        <v>17</v>
      </c>
      <c r="I379" t="str">
        <f t="shared" si="5"/>
        <v>Dasyatis geijskesiSharpsnout stingray</v>
      </c>
    </row>
    <row r="380" spans="1:9" x14ac:dyDescent="0.35">
      <c r="A380">
        <v>9</v>
      </c>
      <c r="B380">
        <v>2016</v>
      </c>
      <c r="C380">
        <v>2</v>
      </c>
      <c r="D380" t="s">
        <v>173</v>
      </c>
      <c r="E380" t="s">
        <v>348</v>
      </c>
      <c r="F380" t="s">
        <v>352</v>
      </c>
      <c r="G380" t="s">
        <v>0</v>
      </c>
      <c r="H380" s="4">
        <v>43</v>
      </c>
      <c r="I380" t="str">
        <f t="shared" si="5"/>
        <v>Narcine brasiliensisBrazilian Electric Ray</v>
      </c>
    </row>
    <row r="381" spans="1:9" x14ac:dyDescent="0.35">
      <c r="A381">
        <v>9</v>
      </c>
      <c r="B381">
        <v>2016</v>
      </c>
      <c r="C381">
        <v>2</v>
      </c>
      <c r="D381" t="s">
        <v>173</v>
      </c>
      <c r="E381" t="s">
        <v>348</v>
      </c>
      <c r="F381" t="s">
        <v>40</v>
      </c>
      <c r="G381" t="s">
        <v>35</v>
      </c>
      <c r="H381" s="4">
        <v>22</v>
      </c>
      <c r="I381" t="str">
        <f t="shared" si="5"/>
        <v>Macrodon ancylodonBangamary</v>
      </c>
    </row>
    <row r="382" spans="1:9" x14ac:dyDescent="0.35">
      <c r="A382">
        <v>9</v>
      </c>
      <c r="B382">
        <v>2016</v>
      </c>
      <c r="C382">
        <v>2</v>
      </c>
      <c r="D382" t="s">
        <v>173</v>
      </c>
      <c r="E382" t="s">
        <v>348</v>
      </c>
      <c r="F382" t="s">
        <v>40</v>
      </c>
      <c r="G382" t="s">
        <v>35</v>
      </c>
      <c r="H382" s="4">
        <v>17</v>
      </c>
      <c r="I382" t="str">
        <f t="shared" si="5"/>
        <v>Macrodon ancylodonBangamary</v>
      </c>
    </row>
    <row r="383" spans="1:9" x14ac:dyDescent="0.35">
      <c r="A383">
        <v>9</v>
      </c>
      <c r="B383">
        <v>2016</v>
      </c>
      <c r="C383">
        <v>2</v>
      </c>
      <c r="D383" t="s">
        <v>173</v>
      </c>
      <c r="E383" t="s">
        <v>348</v>
      </c>
      <c r="F383" t="s">
        <v>40</v>
      </c>
      <c r="G383" t="s">
        <v>35</v>
      </c>
      <c r="H383" s="4">
        <v>13</v>
      </c>
      <c r="I383" t="str">
        <f t="shared" si="5"/>
        <v>Macrodon ancylodonBangamary</v>
      </c>
    </row>
    <row r="384" spans="1:9" x14ac:dyDescent="0.35">
      <c r="A384">
        <v>9</v>
      </c>
      <c r="B384">
        <v>2016</v>
      </c>
      <c r="C384">
        <v>2</v>
      </c>
      <c r="D384" t="s">
        <v>173</v>
      </c>
      <c r="E384" t="s">
        <v>348</v>
      </c>
      <c r="F384" t="s">
        <v>40</v>
      </c>
      <c r="G384" t="s">
        <v>35</v>
      </c>
      <c r="H384" s="4">
        <v>12</v>
      </c>
      <c r="I384" t="str">
        <f t="shared" si="5"/>
        <v>Macrodon ancylodonBangamary</v>
      </c>
    </row>
    <row r="385" spans="1:9" x14ac:dyDescent="0.35">
      <c r="A385">
        <v>9</v>
      </c>
      <c r="B385">
        <v>2016</v>
      </c>
      <c r="C385">
        <v>2</v>
      </c>
      <c r="D385" t="s">
        <v>173</v>
      </c>
      <c r="E385" t="s">
        <v>348</v>
      </c>
      <c r="F385" t="s">
        <v>40</v>
      </c>
      <c r="G385" t="s">
        <v>35</v>
      </c>
      <c r="H385" s="4">
        <v>7</v>
      </c>
      <c r="I385" t="str">
        <f t="shared" si="5"/>
        <v>Macrodon ancylodonBangamary</v>
      </c>
    </row>
    <row r="386" spans="1:9" x14ac:dyDescent="0.35">
      <c r="A386">
        <v>9</v>
      </c>
      <c r="B386">
        <v>2016</v>
      </c>
      <c r="C386">
        <v>2</v>
      </c>
      <c r="D386" t="s">
        <v>173</v>
      </c>
      <c r="E386" t="s">
        <v>348</v>
      </c>
      <c r="F386" t="s">
        <v>40</v>
      </c>
      <c r="G386" t="s">
        <v>35</v>
      </c>
      <c r="H386" s="4">
        <v>6</v>
      </c>
      <c r="I386" t="str">
        <f t="shared" ref="I386:I449" si="6">CONCATENATE(F386,G386)</f>
        <v>Macrodon ancylodonBangamary</v>
      </c>
    </row>
    <row r="387" spans="1:9" x14ac:dyDescent="0.35">
      <c r="A387">
        <v>9</v>
      </c>
      <c r="B387">
        <v>2016</v>
      </c>
      <c r="C387">
        <v>2</v>
      </c>
      <c r="D387" t="s">
        <v>173</v>
      </c>
      <c r="E387" t="s">
        <v>348</v>
      </c>
      <c r="F387" t="s">
        <v>40</v>
      </c>
      <c r="G387" t="s">
        <v>35</v>
      </c>
      <c r="H387" s="4">
        <v>8</v>
      </c>
      <c r="I387" t="str">
        <f t="shared" si="6"/>
        <v>Macrodon ancylodonBangamary</v>
      </c>
    </row>
    <row r="388" spans="1:9" x14ac:dyDescent="0.35">
      <c r="A388">
        <v>9</v>
      </c>
      <c r="B388">
        <v>2016</v>
      </c>
      <c r="C388">
        <v>2</v>
      </c>
      <c r="D388" t="s">
        <v>173</v>
      </c>
      <c r="E388" t="s">
        <v>348</v>
      </c>
      <c r="F388" t="s">
        <v>40</v>
      </c>
      <c r="G388" t="s">
        <v>35</v>
      </c>
      <c r="H388" s="4">
        <v>6</v>
      </c>
      <c r="I388" t="str">
        <f t="shared" si="6"/>
        <v>Macrodon ancylodonBangamary</v>
      </c>
    </row>
    <row r="389" spans="1:9" x14ac:dyDescent="0.35">
      <c r="A389">
        <v>9</v>
      </c>
      <c r="B389">
        <v>2016</v>
      </c>
      <c r="C389">
        <v>2</v>
      </c>
      <c r="D389" t="s">
        <v>173</v>
      </c>
      <c r="E389" t="s">
        <v>348</v>
      </c>
      <c r="F389" t="s">
        <v>40</v>
      </c>
      <c r="G389" t="s">
        <v>35</v>
      </c>
      <c r="H389" s="4">
        <v>7</v>
      </c>
      <c r="I389" t="str">
        <f t="shared" si="6"/>
        <v>Macrodon ancylodonBangamary</v>
      </c>
    </row>
    <row r="390" spans="1:9" x14ac:dyDescent="0.35">
      <c r="A390">
        <v>9</v>
      </c>
      <c r="B390">
        <v>2016</v>
      </c>
      <c r="C390">
        <v>2</v>
      </c>
      <c r="D390" t="s">
        <v>173</v>
      </c>
      <c r="E390" t="s">
        <v>348</v>
      </c>
      <c r="F390" t="s">
        <v>40</v>
      </c>
      <c r="G390" t="s">
        <v>35</v>
      </c>
      <c r="H390" s="4">
        <v>6</v>
      </c>
      <c r="I390" t="str">
        <f t="shared" si="6"/>
        <v>Macrodon ancylodonBangamary</v>
      </c>
    </row>
    <row r="391" spans="1:9" x14ac:dyDescent="0.35">
      <c r="A391">
        <v>9</v>
      </c>
      <c r="B391">
        <v>2016</v>
      </c>
      <c r="C391">
        <v>2</v>
      </c>
      <c r="D391" t="s">
        <v>173</v>
      </c>
      <c r="E391" t="s">
        <v>348</v>
      </c>
      <c r="F391" t="s">
        <v>50</v>
      </c>
      <c r="G391" t="s">
        <v>56</v>
      </c>
      <c r="H391" s="4">
        <v>60</v>
      </c>
      <c r="I391" t="str">
        <f t="shared" si="6"/>
        <v>Trichiurus lepturusSilverbelt</v>
      </c>
    </row>
    <row r="392" spans="1:9" x14ac:dyDescent="0.35">
      <c r="A392">
        <v>9</v>
      </c>
      <c r="B392">
        <v>2016</v>
      </c>
      <c r="C392">
        <v>2</v>
      </c>
      <c r="D392" t="s">
        <v>173</v>
      </c>
      <c r="E392" t="s">
        <v>348</v>
      </c>
      <c r="F392" t="s">
        <v>50</v>
      </c>
      <c r="G392" t="s">
        <v>56</v>
      </c>
      <c r="H392" s="4">
        <v>40</v>
      </c>
      <c r="I392" t="str">
        <f t="shared" si="6"/>
        <v>Trichiurus lepturusSilverbelt</v>
      </c>
    </row>
    <row r="393" spans="1:9" x14ac:dyDescent="0.35">
      <c r="A393">
        <v>9</v>
      </c>
      <c r="B393">
        <v>2016</v>
      </c>
      <c r="C393">
        <v>2</v>
      </c>
      <c r="D393" t="s">
        <v>173</v>
      </c>
      <c r="E393" t="s">
        <v>348</v>
      </c>
      <c r="F393" t="s">
        <v>21</v>
      </c>
      <c r="G393" t="s">
        <v>59</v>
      </c>
      <c r="H393" s="4">
        <v>13</v>
      </c>
      <c r="I393" t="str">
        <f t="shared" si="6"/>
        <v>Stellifer micropsRockhead</v>
      </c>
    </row>
    <row r="394" spans="1:9" x14ac:dyDescent="0.35">
      <c r="A394">
        <v>9</v>
      </c>
      <c r="B394">
        <v>2016</v>
      </c>
      <c r="C394">
        <v>2</v>
      </c>
      <c r="D394" t="s">
        <v>173</v>
      </c>
      <c r="E394" t="s">
        <v>348</v>
      </c>
      <c r="F394" t="s">
        <v>21</v>
      </c>
      <c r="G394" t="s">
        <v>59</v>
      </c>
      <c r="H394" s="4">
        <v>13</v>
      </c>
      <c r="I394" t="str">
        <f t="shared" si="6"/>
        <v>Stellifer micropsRockhead</v>
      </c>
    </row>
    <row r="395" spans="1:9" x14ac:dyDescent="0.35">
      <c r="A395">
        <v>9</v>
      </c>
      <c r="B395">
        <v>2016</v>
      </c>
      <c r="C395">
        <v>2</v>
      </c>
      <c r="D395" t="s">
        <v>173</v>
      </c>
      <c r="E395" t="s">
        <v>348</v>
      </c>
      <c r="F395" t="s">
        <v>21</v>
      </c>
      <c r="G395" t="s">
        <v>59</v>
      </c>
      <c r="H395" s="4">
        <v>9</v>
      </c>
      <c r="I395" t="str">
        <f t="shared" si="6"/>
        <v>Stellifer micropsRockhead</v>
      </c>
    </row>
    <row r="396" spans="1:9" x14ac:dyDescent="0.35">
      <c r="A396">
        <v>9</v>
      </c>
      <c r="B396">
        <v>2016</v>
      </c>
      <c r="C396">
        <v>2</v>
      </c>
      <c r="D396" t="s">
        <v>173</v>
      </c>
      <c r="E396" t="s">
        <v>348</v>
      </c>
      <c r="F396" t="s">
        <v>21</v>
      </c>
      <c r="G396" t="s">
        <v>59</v>
      </c>
      <c r="H396" s="4">
        <v>10</v>
      </c>
      <c r="I396" t="str">
        <f t="shared" si="6"/>
        <v>Stellifer micropsRockhead</v>
      </c>
    </row>
    <row r="397" spans="1:9" x14ac:dyDescent="0.35">
      <c r="A397">
        <v>9</v>
      </c>
      <c r="B397">
        <v>2016</v>
      </c>
      <c r="C397">
        <v>2</v>
      </c>
      <c r="D397" t="s">
        <v>173</v>
      </c>
      <c r="E397" t="s">
        <v>348</v>
      </c>
      <c r="F397" t="s">
        <v>21</v>
      </c>
      <c r="G397" t="s">
        <v>59</v>
      </c>
      <c r="H397" s="4">
        <v>9</v>
      </c>
      <c r="I397" t="str">
        <f t="shared" si="6"/>
        <v>Stellifer micropsRockhead</v>
      </c>
    </row>
    <row r="398" spans="1:9" x14ac:dyDescent="0.35">
      <c r="A398">
        <v>9</v>
      </c>
      <c r="B398">
        <v>2016</v>
      </c>
      <c r="C398">
        <v>2</v>
      </c>
      <c r="D398" t="s">
        <v>173</v>
      </c>
      <c r="E398" t="s">
        <v>348</v>
      </c>
      <c r="F398" t="s">
        <v>21</v>
      </c>
      <c r="G398" t="s">
        <v>59</v>
      </c>
      <c r="H398" s="4">
        <v>6</v>
      </c>
      <c r="I398" t="str">
        <f t="shared" si="6"/>
        <v>Stellifer micropsRockhead</v>
      </c>
    </row>
    <row r="399" spans="1:9" x14ac:dyDescent="0.35">
      <c r="A399">
        <v>9</v>
      </c>
      <c r="B399">
        <v>2016</v>
      </c>
      <c r="C399">
        <v>2</v>
      </c>
      <c r="D399" t="s">
        <v>173</v>
      </c>
      <c r="E399" t="s">
        <v>348</v>
      </c>
      <c r="F399" t="s">
        <v>21</v>
      </c>
      <c r="G399" t="s">
        <v>59</v>
      </c>
      <c r="H399" s="4">
        <v>6</v>
      </c>
      <c r="I399" t="str">
        <f t="shared" si="6"/>
        <v>Stellifer micropsRockhead</v>
      </c>
    </row>
    <row r="400" spans="1:9" x14ac:dyDescent="0.35">
      <c r="A400">
        <v>9</v>
      </c>
      <c r="B400">
        <v>2016</v>
      </c>
      <c r="C400">
        <v>2</v>
      </c>
      <c r="D400" t="s">
        <v>173</v>
      </c>
      <c r="E400" t="s">
        <v>348</v>
      </c>
      <c r="F400" t="s">
        <v>21</v>
      </c>
      <c r="G400" t="s">
        <v>59</v>
      </c>
      <c r="H400" s="4">
        <v>7</v>
      </c>
      <c r="I400" t="str">
        <f t="shared" si="6"/>
        <v>Stellifer micropsRockhead</v>
      </c>
    </row>
    <row r="401" spans="1:9" x14ac:dyDescent="0.35">
      <c r="A401">
        <v>9</v>
      </c>
      <c r="B401">
        <v>2016</v>
      </c>
      <c r="C401">
        <v>2</v>
      </c>
      <c r="D401" t="s">
        <v>173</v>
      </c>
      <c r="E401" t="s">
        <v>348</v>
      </c>
      <c r="F401" t="s">
        <v>21</v>
      </c>
      <c r="G401" t="s">
        <v>59</v>
      </c>
      <c r="H401" s="4">
        <v>5</v>
      </c>
      <c r="I401" t="str">
        <f t="shared" si="6"/>
        <v>Stellifer micropsRockhead</v>
      </c>
    </row>
    <row r="402" spans="1:9" x14ac:dyDescent="0.35">
      <c r="A402">
        <v>9</v>
      </c>
      <c r="B402">
        <v>2016</v>
      </c>
      <c r="C402">
        <v>2</v>
      </c>
      <c r="D402" t="s">
        <v>173</v>
      </c>
      <c r="E402" t="s">
        <v>348</v>
      </c>
      <c r="F402" t="s">
        <v>21</v>
      </c>
      <c r="G402" t="s">
        <v>59</v>
      </c>
      <c r="H402" s="4">
        <v>5</v>
      </c>
      <c r="I402" t="str">
        <f t="shared" si="6"/>
        <v>Stellifer micropsRockhead</v>
      </c>
    </row>
    <row r="403" spans="1:9" x14ac:dyDescent="0.35">
      <c r="A403">
        <v>9</v>
      </c>
      <c r="B403">
        <v>2016</v>
      </c>
      <c r="C403">
        <v>2</v>
      </c>
      <c r="D403" t="s">
        <v>173</v>
      </c>
      <c r="E403" t="s">
        <v>348</v>
      </c>
      <c r="F403" t="s">
        <v>42</v>
      </c>
      <c r="G403" t="s">
        <v>126</v>
      </c>
      <c r="H403" s="4">
        <v>10</v>
      </c>
      <c r="I403" t="str">
        <f t="shared" si="6"/>
        <v>Paralonchurus  elegansChinese Butterfish</v>
      </c>
    </row>
    <row r="404" spans="1:9" x14ac:dyDescent="0.35">
      <c r="A404">
        <v>9</v>
      </c>
      <c r="B404">
        <v>2016</v>
      </c>
      <c r="C404">
        <v>2</v>
      </c>
      <c r="D404" t="s">
        <v>173</v>
      </c>
      <c r="E404" t="s">
        <v>348</v>
      </c>
      <c r="F404" t="s">
        <v>42</v>
      </c>
      <c r="G404" t="s">
        <v>126</v>
      </c>
      <c r="H404" s="4">
        <v>10</v>
      </c>
      <c r="I404" t="str">
        <f t="shared" si="6"/>
        <v>Paralonchurus  elegansChinese Butterfish</v>
      </c>
    </row>
    <row r="405" spans="1:9" x14ac:dyDescent="0.35">
      <c r="A405">
        <v>9</v>
      </c>
      <c r="B405">
        <v>2016</v>
      </c>
      <c r="C405">
        <v>2</v>
      </c>
      <c r="D405" t="s">
        <v>173</v>
      </c>
      <c r="E405" t="s">
        <v>348</v>
      </c>
      <c r="F405" t="s">
        <v>42</v>
      </c>
      <c r="G405" t="s">
        <v>126</v>
      </c>
      <c r="H405" s="4">
        <v>16</v>
      </c>
      <c r="I405" t="str">
        <f t="shared" si="6"/>
        <v>Paralonchurus  elegansChinese Butterfish</v>
      </c>
    </row>
    <row r="406" spans="1:9" x14ac:dyDescent="0.35">
      <c r="A406">
        <v>9</v>
      </c>
      <c r="B406">
        <v>2016</v>
      </c>
      <c r="C406">
        <v>2</v>
      </c>
      <c r="D406" t="s">
        <v>173</v>
      </c>
      <c r="E406" t="s">
        <v>348</v>
      </c>
      <c r="F406" t="s">
        <v>42</v>
      </c>
      <c r="G406" t="s">
        <v>126</v>
      </c>
      <c r="H406" s="4">
        <v>9</v>
      </c>
      <c r="I406" t="str">
        <f t="shared" si="6"/>
        <v>Paralonchurus  elegansChinese Butterfish</v>
      </c>
    </row>
    <row r="407" spans="1:9" x14ac:dyDescent="0.35">
      <c r="A407">
        <v>9</v>
      </c>
      <c r="B407">
        <v>2016</v>
      </c>
      <c r="C407">
        <v>2</v>
      </c>
      <c r="D407" t="s">
        <v>173</v>
      </c>
      <c r="E407" t="s">
        <v>348</v>
      </c>
      <c r="F407" t="s">
        <v>42</v>
      </c>
      <c r="G407" t="s">
        <v>126</v>
      </c>
      <c r="H407" s="4">
        <v>14</v>
      </c>
      <c r="I407" t="str">
        <f t="shared" si="6"/>
        <v>Paralonchurus  elegansChinese Butterfish</v>
      </c>
    </row>
    <row r="408" spans="1:9" x14ac:dyDescent="0.35">
      <c r="A408">
        <v>9</v>
      </c>
      <c r="B408">
        <v>2016</v>
      </c>
      <c r="C408">
        <v>2</v>
      </c>
      <c r="D408" t="s">
        <v>173</v>
      </c>
      <c r="E408" t="s">
        <v>348</v>
      </c>
      <c r="F408" t="s">
        <v>42</v>
      </c>
      <c r="G408" t="s">
        <v>126</v>
      </c>
      <c r="H408" s="4">
        <v>8</v>
      </c>
      <c r="I408" t="str">
        <f t="shared" si="6"/>
        <v>Paralonchurus  elegansChinese Butterfish</v>
      </c>
    </row>
    <row r="409" spans="1:9" x14ac:dyDescent="0.35">
      <c r="A409">
        <v>9</v>
      </c>
      <c r="B409">
        <v>2016</v>
      </c>
      <c r="C409">
        <v>2</v>
      </c>
      <c r="D409" t="s">
        <v>173</v>
      </c>
      <c r="E409" t="s">
        <v>348</v>
      </c>
      <c r="F409" t="s">
        <v>42</v>
      </c>
      <c r="G409" t="s">
        <v>126</v>
      </c>
      <c r="H409" s="4">
        <v>10</v>
      </c>
      <c r="I409" t="str">
        <f t="shared" si="6"/>
        <v>Paralonchurus  elegansChinese Butterfish</v>
      </c>
    </row>
    <row r="410" spans="1:9" x14ac:dyDescent="0.35">
      <c r="A410">
        <v>9</v>
      </c>
      <c r="B410">
        <v>2016</v>
      </c>
      <c r="C410">
        <v>2</v>
      </c>
      <c r="D410" t="s">
        <v>173</v>
      </c>
      <c r="E410" t="s">
        <v>348</v>
      </c>
      <c r="F410" t="s">
        <v>42</v>
      </c>
      <c r="G410" t="s">
        <v>126</v>
      </c>
      <c r="H410" s="4">
        <v>11</v>
      </c>
      <c r="I410" t="str">
        <f t="shared" si="6"/>
        <v>Paralonchurus  elegansChinese Butterfish</v>
      </c>
    </row>
    <row r="411" spans="1:9" x14ac:dyDescent="0.35">
      <c r="A411">
        <v>9</v>
      </c>
      <c r="B411">
        <v>2016</v>
      </c>
      <c r="C411">
        <v>2</v>
      </c>
      <c r="D411" t="s">
        <v>173</v>
      </c>
      <c r="E411" t="s">
        <v>348</v>
      </c>
      <c r="F411" t="s">
        <v>42</v>
      </c>
      <c r="G411" t="s">
        <v>126</v>
      </c>
      <c r="H411" s="4">
        <v>11</v>
      </c>
      <c r="I411" t="str">
        <f t="shared" si="6"/>
        <v>Paralonchurus  elegansChinese Butterfish</v>
      </c>
    </row>
    <row r="412" spans="1:9" x14ac:dyDescent="0.35">
      <c r="A412">
        <v>9</v>
      </c>
      <c r="B412">
        <v>2016</v>
      </c>
      <c r="C412">
        <v>2</v>
      </c>
      <c r="D412" t="s">
        <v>173</v>
      </c>
      <c r="E412" t="s">
        <v>348</v>
      </c>
      <c r="F412" t="s">
        <v>42</v>
      </c>
      <c r="G412" t="s">
        <v>126</v>
      </c>
      <c r="H412" s="4">
        <v>7</v>
      </c>
      <c r="I412" t="str">
        <f t="shared" si="6"/>
        <v>Paralonchurus  elegansChinese Butterfish</v>
      </c>
    </row>
    <row r="413" spans="1:9" x14ac:dyDescent="0.35">
      <c r="A413">
        <v>9</v>
      </c>
      <c r="B413">
        <v>2016</v>
      </c>
      <c r="C413">
        <v>2</v>
      </c>
      <c r="D413" t="s">
        <v>173</v>
      </c>
      <c r="E413" t="s">
        <v>348</v>
      </c>
      <c r="F413" t="s">
        <v>350</v>
      </c>
      <c r="G413" t="s">
        <v>12</v>
      </c>
      <c r="H413" s="4">
        <v>35</v>
      </c>
      <c r="I413" t="str">
        <f t="shared" si="6"/>
        <v>Batrachoides  surinamensisPacu</v>
      </c>
    </row>
    <row r="414" spans="1:9" x14ac:dyDescent="0.35">
      <c r="A414">
        <v>9</v>
      </c>
      <c r="B414">
        <v>2016</v>
      </c>
      <c r="C414">
        <v>2</v>
      </c>
      <c r="D414" t="s">
        <v>173</v>
      </c>
      <c r="E414" t="s">
        <v>348</v>
      </c>
      <c r="F414" t="s">
        <v>350</v>
      </c>
      <c r="G414" t="s">
        <v>12</v>
      </c>
      <c r="H414" s="4">
        <v>43</v>
      </c>
      <c r="I414" t="str">
        <f t="shared" si="6"/>
        <v>Batrachoides  surinamensisPacu</v>
      </c>
    </row>
    <row r="415" spans="1:9" x14ac:dyDescent="0.35">
      <c r="A415">
        <v>9</v>
      </c>
      <c r="B415">
        <v>2016</v>
      </c>
      <c r="C415">
        <v>2</v>
      </c>
      <c r="D415" t="s">
        <v>173</v>
      </c>
      <c r="E415" t="s">
        <v>348</v>
      </c>
      <c r="F415" t="s">
        <v>350</v>
      </c>
      <c r="G415" t="s">
        <v>12</v>
      </c>
      <c r="H415" s="4">
        <v>18</v>
      </c>
      <c r="I415" t="str">
        <f t="shared" si="6"/>
        <v>Batrachoides  surinamensisPacu</v>
      </c>
    </row>
    <row r="416" spans="1:9" x14ac:dyDescent="0.35">
      <c r="A416">
        <v>9</v>
      </c>
      <c r="B416">
        <v>2016</v>
      </c>
      <c r="C416">
        <v>2</v>
      </c>
      <c r="D416" t="s">
        <v>173</v>
      </c>
      <c r="E416" t="s">
        <v>348</v>
      </c>
      <c r="F416" t="s">
        <v>350</v>
      </c>
      <c r="G416" t="s">
        <v>12</v>
      </c>
      <c r="H416" s="4">
        <v>13</v>
      </c>
      <c r="I416" t="str">
        <f t="shared" si="6"/>
        <v>Batrachoides  surinamensisPacu</v>
      </c>
    </row>
    <row r="417" spans="1:9" x14ac:dyDescent="0.35">
      <c r="A417">
        <v>9</v>
      </c>
      <c r="B417">
        <v>2016</v>
      </c>
      <c r="C417">
        <v>2</v>
      </c>
      <c r="D417" t="s">
        <v>173</v>
      </c>
      <c r="E417" t="s">
        <v>348</v>
      </c>
      <c r="F417" t="s">
        <v>350</v>
      </c>
      <c r="G417" t="s">
        <v>12</v>
      </c>
      <c r="H417" s="4">
        <v>13</v>
      </c>
      <c r="I417" t="str">
        <f t="shared" si="6"/>
        <v>Batrachoides  surinamensisPacu</v>
      </c>
    </row>
    <row r="418" spans="1:9" x14ac:dyDescent="0.35">
      <c r="A418">
        <v>14</v>
      </c>
      <c r="B418">
        <v>2016</v>
      </c>
      <c r="C418">
        <v>6</v>
      </c>
      <c r="D418" t="s">
        <v>176</v>
      </c>
      <c r="E418" t="s">
        <v>348</v>
      </c>
      <c r="F418" t="s">
        <v>5</v>
      </c>
      <c r="G418" t="s">
        <v>4</v>
      </c>
      <c r="H418" s="4">
        <v>19</v>
      </c>
      <c r="I418" t="str">
        <f t="shared" si="6"/>
        <v>Bagre bagreCatfish</v>
      </c>
    </row>
    <row r="419" spans="1:9" x14ac:dyDescent="0.35">
      <c r="A419">
        <v>14</v>
      </c>
      <c r="B419">
        <v>2016</v>
      </c>
      <c r="C419">
        <v>6</v>
      </c>
      <c r="D419" t="s">
        <v>176</v>
      </c>
      <c r="E419" t="s">
        <v>348</v>
      </c>
      <c r="F419" t="s">
        <v>5</v>
      </c>
      <c r="G419" t="s">
        <v>4</v>
      </c>
      <c r="H419" s="4">
        <v>17</v>
      </c>
      <c r="I419" t="str">
        <f t="shared" si="6"/>
        <v>Bagre bagreCatfish</v>
      </c>
    </row>
    <row r="420" spans="1:9" x14ac:dyDescent="0.35">
      <c r="A420">
        <v>14</v>
      </c>
      <c r="B420">
        <v>2016</v>
      </c>
      <c r="C420">
        <v>6</v>
      </c>
      <c r="D420" t="s">
        <v>176</v>
      </c>
      <c r="E420" t="s">
        <v>348</v>
      </c>
      <c r="F420" t="s">
        <v>2</v>
      </c>
      <c r="G420" t="s">
        <v>307</v>
      </c>
      <c r="H420" s="4">
        <v>29</v>
      </c>
      <c r="I420" t="str">
        <f t="shared" si="6"/>
        <v>Gymnura micruraButterfly stingray</v>
      </c>
    </row>
    <row r="421" spans="1:9" x14ac:dyDescent="0.35">
      <c r="A421">
        <v>14</v>
      </c>
      <c r="B421">
        <v>2016</v>
      </c>
      <c r="C421">
        <v>6</v>
      </c>
      <c r="D421" t="s">
        <v>176</v>
      </c>
      <c r="E421" t="s">
        <v>348</v>
      </c>
      <c r="F421" t="s">
        <v>2</v>
      </c>
      <c r="G421" t="s">
        <v>307</v>
      </c>
      <c r="H421" s="4">
        <v>36</v>
      </c>
      <c r="I421" t="str">
        <f t="shared" si="6"/>
        <v>Gymnura micruraButterfly stingray</v>
      </c>
    </row>
    <row r="422" spans="1:9" x14ac:dyDescent="0.35">
      <c r="A422">
        <v>14</v>
      </c>
      <c r="B422">
        <v>2016</v>
      </c>
      <c r="C422">
        <v>6</v>
      </c>
      <c r="D422" t="s">
        <v>176</v>
      </c>
      <c r="E422" t="s">
        <v>348</v>
      </c>
      <c r="F422" t="s">
        <v>40</v>
      </c>
      <c r="G422" t="s">
        <v>35</v>
      </c>
      <c r="H422" s="4">
        <v>26</v>
      </c>
      <c r="I422" t="str">
        <f t="shared" si="6"/>
        <v>Macrodon ancylodonBangamary</v>
      </c>
    </row>
    <row r="423" spans="1:9" x14ac:dyDescent="0.35">
      <c r="A423">
        <v>14</v>
      </c>
      <c r="B423">
        <v>2016</v>
      </c>
      <c r="C423">
        <v>6</v>
      </c>
      <c r="D423" t="s">
        <v>176</v>
      </c>
      <c r="E423" t="s">
        <v>348</v>
      </c>
      <c r="F423" t="s">
        <v>40</v>
      </c>
      <c r="G423" t="s">
        <v>35</v>
      </c>
      <c r="H423" s="4">
        <v>23</v>
      </c>
      <c r="I423" t="str">
        <f t="shared" si="6"/>
        <v>Macrodon ancylodonBangamary</v>
      </c>
    </row>
    <row r="424" spans="1:9" x14ac:dyDescent="0.35">
      <c r="A424">
        <v>14</v>
      </c>
      <c r="B424">
        <v>2016</v>
      </c>
      <c r="C424">
        <v>6</v>
      </c>
      <c r="D424" t="s">
        <v>176</v>
      </c>
      <c r="E424" t="s">
        <v>348</v>
      </c>
      <c r="F424" t="s">
        <v>40</v>
      </c>
      <c r="G424" t="s">
        <v>35</v>
      </c>
      <c r="H424" s="4">
        <v>20</v>
      </c>
      <c r="I424" t="str">
        <f t="shared" si="6"/>
        <v>Macrodon ancylodonBangamary</v>
      </c>
    </row>
    <row r="425" spans="1:9" x14ac:dyDescent="0.35">
      <c r="A425">
        <v>14</v>
      </c>
      <c r="B425">
        <v>2016</v>
      </c>
      <c r="C425">
        <v>6</v>
      </c>
      <c r="D425" t="s">
        <v>176</v>
      </c>
      <c r="E425" t="s">
        <v>348</v>
      </c>
      <c r="F425" t="s">
        <v>40</v>
      </c>
      <c r="G425" t="s">
        <v>35</v>
      </c>
      <c r="H425" s="4">
        <v>23</v>
      </c>
      <c r="I425" t="str">
        <f t="shared" si="6"/>
        <v>Macrodon ancylodonBangamary</v>
      </c>
    </row>
    <row r="426" spans="1:9" x14ac:dyDescent="0.35">
      <c r="A426">
        <v>14</v>
      </c>
      <c r="B426">
        <v>2016</v>
      </c>
      <c r="C426">
        <v>6</v>
      </c>
      <c r="D426" t="s">
        <v>176</v>
      </c>
      <c r="E426" t="s">
        <v>348</v>
      </c>
      <c r="F426" t="s">
        <v>40</v>
      </c>
      <c r="G426" t="s">
        <v>35</v>
      </c>
      <c r="H426" s="4">
        <v>13</v>
      </c>
      <c r="I426" t="str">
        <f t="shared" si="6"/>
        <v>Macrodon ancylodonBangamary</v>
      </c>
    </row>
    <row r="427" spans="1:9" x14ac:dyDescent="0.35">
      <c r="A427">
        <v>14</v>
      </c>
      <c r="B427">
        <v>2016</v>
      </c>
      <c r="C427">
        <v>6</v>
      </c>
      <c r="D427" t="s">
        <v>176</v>
      </c>
      <c r="E427" t="s">
        <v>348</v>
      </c>
      <c r="F427" t="s">
        <v>40</v>
      </c>
      <c r="G427" t="s">
        <v>35</v>
      </c>
      <c r="H427" s="4">
        <v>14</v>
      </c>
      <c r="I427" t="str">
        <f t="shared" si="6"/>
        <v>Macrodon ancylodonBangamary</v>
      </c>
    </row>
    <row r="428" spans="1:9" x14ac:dyDescent="0.35">
      <c r="A428">
        <v>14</v>
      </c>
      <c r="B428">
        <v>2016</v>
      </c>
      <c r="C428">
        <v>6</v>
      </c>
      <c r="D428" t="s">
        <v>176</v>
      </c>
      <c r="E428" t="s">
        <v>348</v>
      </c>
      <c r="F428" t="s">
        <v>40</v>
      </c>
      <c r="G428" t="s">
        <v>35</v>
      </c>
      <c r="H428" s="4">
        <v>8</v>
      </c>
      <c r="I428" t="str">
        <f t="shared" si="6"/>
        <v>Macrodon ancylodonBangamary</v>
      </c>
    </row>
    <row r="429" spans="1:9" x14ac:dyDescent="0.35">
      <c r="A429">
        <v>14</v>
      </c>
      <c r="B429">
        <v>2016</v>
      </c>
      <c r="C429">
        <v>6</v>
      </c>
      <c r="D429" t="s">
        <v>176</v>
      </c>
      <c r="E429" t="s">
        <v>348</v>
      </c>
      <c r="F429" t="s">
        <v>40</v>
      </c>
      <c r="G429" t="s">
        <v>35</v>
      </c>
      <c r="H429" s="4">
        <v>8</v>
      </c>
      <c r="I429" t="str">
        <f t="shared" si="6"/>
        <v>Macrodon ancylodonBangamary</v>
      </c>
    </row>
    <row r="430" spans="1:9" x14ac:dyDescent="0.35">
      <c r="A430">
        <v>14</v>
      </c>
      <c r="B430">
        <v>2016</v>
      </c>
      <c r="C430">
        <v>6</v>
      </c>
      <c r="D430" t="s">
        <v>176</v>
      </c>
      <c r="E430" t="s">
        <v>348</v>
      </c>
      <c r="F430" t="s">
        <v>40</v>
      </c>
      <c r="G430" t="s">
        <v>35</v>
      </c>
      <c r="H430" s="4">
        <v>7</v>
      </c>
      <c r="I430" t="str">
        <f t="shared" si="6"/>
        <v>Macrodon ancylodonBangamary</v>
      </c>
    </row>
    <row r="431" spans="1:9" x14ac:dyDescent="0.35">
      <c r="A431">
        <v>14</v>
      </c>
      <c r="B431">
        <v>2016</v>
      </c>
      <c r="C431">
        <v>6</v>
      </c>
      <c r="D431" t="s">
        <v>176</v>
      </c>
      <c r="E431" t="s">
        <v>348</v>
      </c>
      <c r="F431" t="s">
        <v>40</v>
      </c>
      <c r="G431" t="s">
        <v>35</v>
      </c>
      <c r="H431" s="4">
        <v>8</v>
      </c>
      <c r="I431" t="str">
        <f t="shared" si="6"/>
        <v>Macrodon ancylodonBangamary</v>
      </c>
    </row>
    <row r="432" spans="1:9" x14ac:dyDescent="0.35">
      <c r="A432">
        <v>14</v>
      </c>
      <c r="B432">
        <v>2016</v>
      </c>
      <c r="C432">
        <v>6</v>
      </c>
      <c r="D432" t="s">
        <v>176</v>
      </c>
      <c r="E432" t="s">
        <v>348</v>
      </c>
      <c r="F432" t="s">
        <v>39</v>
      </c>
      <c r="G432" t="s">
        <v>38</v>
      </c>
      <c r="H432" s="4">
        <v>21</v>
      </c>
      <c r="I432" t="str">
        <f t="shared" si="6"/>
        <v>Colomesus psittacusBanded Puffer</v>
      </c>
    </row>
    <row r="433" spans="1:9" x14ac:dyDescent="0.35">
      <c r="A433">
        <v>14</v>
      </c>
      <c r="B433">
        <v>2016</v>
      </c>
      <c r="C433">
        <v>6</v>
      </c>
      <c r="D433" t="s">
        <v>176</v>
      </c>
      <c r="E433" t="s">
        <v>348</v>
      </c>
      <c r="F433" t="s">
        <v>21</v>
      </c>
      <c r="G433" t="s">
        <v>59</v>
      </c>
      <c r="H433" s="4">
        <v>12</v>
      </c>
      <c r="I433" t="str">
        <f t="shared" si="6"/>
        <v>Stellifer micropsRockhead</v>
      </c>
    </row>
    <row r="434" spans="1:9" x14ac:dyDescent="0.35">
      <c r="A434">
        <v>14</v>
      </c>
      <c r="B434">
        <v>2016</v>
      </c>
      <c r="C434">
        <v>6</v>
      </c>
      <c r="D434" t="s">
        <v>176</v>
      </c>
      <c r="E434" t="s">
        <v>348</v>
      </c>
      <c r="F434" t="s">
        <v>21</v>
      </c>
      <c r="G434" t="s">
        <v>59</v>
      </c>
      <c r="H434" s="4">
        <v>17</v>
      </c>
      <c r="I434" t="str">
        <f t="shared" si="6"/>
        <v>Stellifer micropsRockhead</v>
      </c>
    </row>
    <row r="435" spans="1:9" x14ac:dyDescent="0.35">
      <c r="A435">
        <v>14</v>
      </c>
      <c r="B435">
        <v>2016</v>
      </c>
      <c r="C435">
        <v>6</v>
      </c>
      <c r="D435" t="s">
        <v>176</v>
      </c>
      <c r="E435" t="s">
        <v>348</v>
      </c>
      <c r="F435" t="s">
        <v>21</v>
      </c>
      <c r="G435" t="s">
        <v>59</v>
      </c>
      <c r="H435" s="4">
        <v>12</v>
      </c>
      <c r="I435" t="str">
        <f t="shared" si="6"/>
        <v>Stellifer micropsRockhead</v>
      </c>
    </row>
    <row r="436" spans="1:9" x14ac:dyDescent="0.35">
      <c r="A436">
        <v>14</v>
      </c>
      <c r="B436">
        <v>2016</v>
      </c>
      <c r="C436">
        <v>6</v>
      </c>
      <c r="D436" t="s">
        <v>176</v>
      </c>
      <c r="E436" t="s">
        <v>348</v>
      </c>
      <c r="F436" t="s">
        <v>21</v>
      </c>
      <c r="G436" t="s">
        <v>59</v>
      </c>
      <c r="H436" s="4">
        <v>13</v>
      </c>
      <c r="I436" t="str">
        <f t="shared" si="6"/>
        <v>Stellifer micropsRockhead</v>
      </c>
    </row>
    <row r="437" spans="1:9" x14ac:dyDescent="0.35">
      <c r="A437">
        <v>14</v>
      </c>
      <c r="B437">
        <v>2016</v>
      </c>
      <c r="C437">
        <v>6</v>
      </c>
      <c r="D437" t="s">
        <v>176</v>
      </c>
      <c r="E437" t="s">
        <v>348</v>
      </c>
      <c r="F437" t="s">
        <v>21</v>
      </c>
      <c r="G437" t="s">
        <v>59</v>
      </c>
      <c r="H437" s="4">
        <v>17</v>
      </c>
      <c r="I437" t="str">
        <f t="shared" si="6"/>
        <v>Stellifer micropsRockhead</v>
      </c>
    </row>
    <row r="438" spans="1:9" x14ac:dyDescent="0.35">
      <c r="A438">
        <v>14</v>
      </c>
      <c r="B438">
        <v>2016</v>
      </c>
      <c r="C438">
        <v>6</v>
      </c>
      <c r="D438" t="s">
        <v>176</v>
      </c>
      <c r="E438" t="s">
        <v>348</v>
      </c>
      <c r="F438" t="s">
        <v>21</v>
      </c>
      <c r="G438" t="s">
        <v>59</v>
      </c>
      <c r="H438" s="4">
        <v>15</v>
      </c>
      <c r="I438" t="str">
        <f t="shared" si="6"/>
        <v>Stellifer micropsRockhead</v>
      </c>
    </row>
    <row r="439" spans="1:9" x14ac:dyDescent="0.35">
      <c r="A439">
        <v>14</v>
      </c>
      <c r="B439">
        <v>2016</v>
      </c>
      <c r="C439">
        <v>6</v>
      </c>
      <c r="D439" t="s">
        <v>176</v>
      </c>
      <c r="E439" t="s">
        <v>348</v>
      </c>
      <c r="F439" t="s">
        <v>21</v>
      </c>
      <c r="G439" t="s">
        <v>59</v>
      </c>
      <c r="H439" s="4">
        <v>13</v>
      </c>
      <c r="I439" t="str">
        <f t="shared" si="6"/>
        <v>Stellifer micropsRockhead</v>
      </c>
    </row>
    <row r="440" spans="1:9" x14ac:dyDescent="0.35">
      <c r="A440">
        <v>14</v>
      </c>
      <c r="B440">
        <v>2016</v>
      </c>
      <c r="C440">
        <v>6</v>
      </c>
      <c r="D440" t="s">
        <v>176</v>
      </c>
      <c r="E440" t="s">
        <v>348</v>
      </c>
      <c r="F440" t="s">
        <v>21</v>
      </c>
      <c r="G440" t="s">
        <v>59</v>
      </c>
      <c r="H440" s="4">
        <v>10</v>
      </c>
      <c r="I440" t="str">
        <f t="shared" si="6"/>
        <v>Stellifer micropsRockhead</v>
      </c>
    </row>
    <row r="441" spans="1:9" x14ac:dyDescent="0.35">
      <c r="A441">
        <v>14</v>
      </c>
      <c r="B441">
        <v>2016</v>
      </c>
      <c r="C441">
        <v>6</v>
      </c>
      <c r="D441" t="s">
        <v>176</v>
      </c>
      <c r="E441" t="s">
        <v>348</v>
      </c>
      <c r="F441" t="s">
        <v>21</v>
      </c>
      <c r="G441" t="s">
        <v>59</v>
      </c>
      <c r="H441" s="4">
        <v>11</v>
      </c>
      <c r="I441" t="str">
        <f t="shared" si="6"/>
        <v>Stellifer micropsRockhead</v>
      </c>
    </row>
    <row r="442" spans="1:9" x14ac:dyDescent="0.35">
      <c r="A442">
        <v>14</v>
      </c>
      <c r="B442">
        <v>2016</v>
      </c>
      <c r="C442">
        <v>6</v>
      </c>
      <c r="D442" t="s">
        <v>176</v>
      </c>
      <c r="E442" t="s">
        <v>348</v>
      </c>
      <c r="F442" t="s">
        <v>21</v>
      </c>
      <c r="G442" t="s">
        <v>59</v>
      </c>
      <c r="H442" s="4">
        <v>10</v>
      </c>
      <c r="I442" t="str">
        <f t="shared" si="6"/>
        <v>Stellifer micropsRockhead</v>
      </c>
    </row>
    <row r="443" spans="1:9" x14ac:dyDescent="0.35">
      <c r="A443">
        <v>14</v>
      </c>
      <c r="B443">
        <v>2016</v>
      </c>
      <c r="C443">
        <v>6</v>
      </c>
      <c r="D443" t="s">
        <v>176</v>
      </c>
      <c r="E443" t="s">
        <v>348</v>
      </c>
      <c r="F443" t="s">
        <v>41</v>
      </c>
      <c r="G443" t="s">
        <v>10</v>
      </c>
      <c r="H443" s="4">
        <v>10</v>
      </c>
      <c r="I443" t="str">
        <f t="shared" si="6"/>
        <v>Chaetodipterus faberSea Donkey</v>
      </c>
    </row>
    <row r="444" spans="1:9" x14ac:dyDescent="0.35">
      <c r="A444">
        <v>14</v>
      </c>
      <c r="B444">
        <v>2016</v>
      </c>
      <c r="C444">
        <v>6</v>
      </c>
      <c r="D444" t="s">
        <v>176</v>
      </c>
      <c r="E444" t="s">
        <v>348</v>
      </c>
      <c r="F444" t="s">
        <v>41</v>
      </c>
      <c r="G444" t="s">
        <v>10</v>
      </c>
      <c r="H444" s="4">
        <v>8</v>
      </c>
      <c r="I444" t="str">
        <f t="shared" si="6"/>
        <v>Chaetodipterus faberSea Donkey</v>
      </c>
    </row>
    <row r="445" spans="1:9" x14ac:dyDescent="0.35">
      <c r="A445">
        <v>14</v>
      </c>
      <c r="B445">
        <v>2016</v>
      </c>
      <c r="C445">
        <v>6</v>
      </c>
      <c r="D445" t="s">
        <v>176</v>
      </c>
      <c r="E445" t="s">
        <v>348</v>
      </c>
      <c r="F445" t="s">
        <v>283</v>
      </c>
      <c r="G445" t="s">
        <v>284</v>
      </c>
      <c r="H445" s="4">
        <v>22</v>
      </c>
      <c r="I445" t="str">
        <f t="shared" si="6"/>
        <v>Paralonchurus braziliensisBanded croaker</v>
      </c>
    </row>
    <row r="446" spans="1:9" x14ac:dyDescent="0.35">
      <c r="A446">
        <v>14</v>
      </c>
      <c r="B446">
        <v>2016</v>
      </c>
      <c r="C446">
        <v>6</v>
      </c>
      <c r="D446" t="s">
        <v>176</v>
      </c>
      <c r="E446" t="s">
        <v>348</v>
      </c>
      <c r="F446" t="s">
        <v>283</v>
      </c>
      <c r="G446" t="s">
        <v>284</v>
      </c>
      <c r="H446" s="4">
        <v>21</v>
      </c>
      <c r="I446" t="str">
        <f t="shared" si="6"/>
        <v>Paralonchurus braziliensisBanded croaker</v>
      </c>
    </row>
    <row r="447" spans="1:9" x14ac:dyDescent="0.35">
      <c r="A447">
        <v>14</v>
      </c>
      <c r="B447">
        <v>2016</v>
      </c>
      <c r="C447">
        <v>6</v>
      </c>
      <c r="D447" t="s">
        <v>176</v>
      </c>
      <c r="E447" t="s">
        <v>348</v>
      </c>
      <c r="F447" t="s">
        <v>283</v>
      </c>
      <c r="G447" t="s">
        <v>284</v>
      </c>
      <c r="H447" s="4">
        <v>23</v>
      </c>
      <c r="I447" t="str">
        <f t="shared" si="6"/>
        <v>Paralonchurus braziliensisBanded croaker</v>
      </c>
    </row>
    <row r="448" spans="1:9" x14ac:dyDescent="0.35">
      <c r="A448">
        <v>14</v>
      </c>
      <c r="B448">
        <v>2016</v>
      </c>
      <c r="C448">
        <v>6</v>
      </c>
      <c r="D448" t="s">
        <v>176</v>
      </c>
      <c r="E448" t="s">
        <v>348</v>
      </c>
      <c r="F448" t="s">
        <v>283</v>
      </c>
      <c r="G448" t="s">
        <v>284</v>
      </c>
      <c r="H448" s="4">
        <v>21</v>
      </c>
      <c r="I448" t="str">
        <f t="shared" si="6"/>
        <v>Paralonchurus braziliensisBanded croaker</v>
      </c>
    </row>
    <row r="449" spans="1:9" x14ac:dyDescent="0.35">
      <c r="A449">
        <v>14</v>
      </c>
      <c r="B449">
        <v>2016</v>
      </c>
      <c r="C449">
        <v>6</v>
      </c>
      <c r="D449" t="s">
        <v>176</v>
      </c>
      <c r="E449" t="s">
        <v>348</v>
      </c>
      <c r="F449" t="s">
        <v>283</v>
      </c>
      <c r="G449" t="s">
        <v>284</v>
      </c>
      <c r="H449" s="4">
        <v>21</v>
      </c>
      <c r="I449" t="str">
        <f t="shared" si="6"/>
        <v>Paralonchurus braziliensisBanded croaker</v>
      </c>
    </row>
    <row r="450" spans="1:9" x14ac:dyDescent="0.35">
      <c r="A450">
        <v>14</v>
      </c>
      <c r="B450">
        <v>2016</v>
      </c>
      <c r="C450">
        <v>6</v>
      </c>
      <c r="D450" t="s">
        <v>176</v>
      </c>
      <c r="E450" t="s">
        <v>348</v>
      </c>
      <c r="F450" t="s">
        <v>283</v>
      </c>
      <c r="G450" t="s">
        <v>284</v>
      </c>
      <c r="H450" s="4">
        <v>21</v>
      </c>
      <c r="I450" t="str">
        <f t="shared" ref="I450:I513" si="7">CONCATENATE(F450,G450)</f>
        <v>Paralonchurus braziliensisBanded croaker</v>
      </c>
    </row>
    <row r="451" spans="1:9" x14ac:dyDescent="0.35">
      <c r="A451">
        <v>14</v>
      </c>
      <c r="B451">
        <v>2016</v>
      </c>
      <c r="C451">
        <v>6</v>
      </c>
      <c r="D451" t="s">
        <v>176</v>
      </c>
      <c r="E451" t="s">
        <v>348</v>
      </c>
      <c r="F451" t="s">
        <v>283</v>
      </c>
      <c r="G451" t="s">
        <v>284</v>
      </c>
      <c r="H451" s="4">
        <v>14</v>
      </c>
      <c r="I451" t="str">
        <f t="shared" si="7"/>
        <v>Paralonchurus braziliensisBanded croaker</v>
      </c>
    </row>
    <row r="452" spans="1:9" x14ac:dyDescent="0.35">
      <c r="A452">
        <v>14</v>
      </c>
      <c r="B452">
        <v>2016</v>
      </c>
      <c r="C452">
        <v>6</v>
      </c>
      <c r="D452" t="s">
        <v>176</v>
      </c>
      <c r="E452" t="s">
        <v>348</v>
      </c>
      <c r="F452" t="s">
        <v>283</v>
      </c>
      <c r="G452" t="s">
        <v>284</v>
      </c>
      <c r="H452" s="4">
        <v>13</v>
      </c>
      <c r="I452" t="str">
        <f t="shared" si="7"/>
        <v>Paralonchurus braziliensisBanded croaker</v>
      </c>
    </row>
    <row r="453" spans="1:9" x14ac:dyDescent="0.35">
      <c r="A453">
        <v>14</v>
      </c>
      <c r="B453">
        <v>2016</v>
      </c>
      <c r="C453">
        <v>6</v>
      </c>
      <c r="D453" t="s">
        <v>176</v>
      </c>
      <c r="E453" t="s">
        <v>348</v>
      </c>
      <c r="F453" t="s">
        <v>283</v>
      </c>
      <c r="G453" t="s">
        <v>284</v>
      </c>
      <c r="H453" s="4">
        <v>10</v>
      </c>
      <c r="I453" t="str">
        <f t="shared" si="7"/>
        <v>Paralonchurus braziliensisBanded croaker</v>
      </c>
    </row>
    <row r="454" spans="1:9" x14ac:dyDescent="0.35">
      <c r="A454">
        <v>14</v>
      </c>
      <c r="B454">
        <v>2016</v>
      </c>
      <c r="C454">
        <v>6</v>
      </c>
      <c r="D454" t="s">
        <v>176</v>
      </c>
      <c r="E454" t="s">
        <v>348</v>
      </c>
      <c r="F454" t="s">
        <v>283</v>
      </c>
      <c r="G454" t="s">
        <v>284</v>
      </c>
      <c r="H454" s="4">
        <v>13</v>
      </c>
      <c r="I454" t="str">
        <f t="shared" si="7"/>
        <v>Paralonchurus braziliensisBanded croaker</v>
      </c>
    </row>
    <row r="455" spans="1:9" x14ac:dyDescent="0.35">
      <c r="A455">
        <v>14</v>
      </c>
      <c r="B455">
        <v>2016</v>
      </c>
      <c r="C455">
        <v>6</v>
      </c>
      <c r="D455" t="s">
        <v>176</v>
      </c>
      <c r="E455" t="s">
        <v>348</v>
      </c>
      <c r="F455" t="s">
        <v>121</v>
      </c>
      <c r="G455" t="s">
        <v>44</v>
      </c>
      <c r="H455" s="4">
        <v>14</v>
      </c>
      <c r="I455" t="str">
        <f t="shared" si="7"/>
        <v>Anchoa mitchilliNegli</v>
      </c>
    </row>
    <row r="456" spans="1:9" x14ac:dyDescent="0.35">
      <c r="A456">
        <v>14</v>
      </c>
      <c r="B456">
        <v>2016</v>
      </c>
      <c r="C456">
        <v>6</v>
      </c>
      <c r="D456" t="s">
        <v>176</v>
      </c>
      <c r="E456" t="s">
        <v>348</v>
      </c>
      <c r="F456" t="s">
        <v>121</v>
      </c>
      <c r="G456" t="s">
        <v>44</v>
      </c>
      <c r="H456" s="4">
        <v>14</v>
      </c>
      <c r="I456" t="str">
        <f t="shared" si="7"/>
        <v>Anchoa mitchilliNegli</v>
      </c>
    </row>
    <row r="457" spans="1:9" x14ac:dyDescent="0.35">
      <c r="A457">
        <v>14</v>
      </c>
      <c r="B457">
        <v>2016</v>
      </c>
      <c r="C457">
        <v>6</v>
      </c>
      <c r="D457" t="s">
        <v>176</v>
      </c>
      <c r="E457" t="s">
        <v>348</v>
      </c>
      <c r="F457" t="s">
        <v>121</v>
      </c>
      <c r="G457" t="s">
        <v>44</v>
      </c>
      <c r="H457" s="4">
        <v>12</v>
      </c>
      <c r="I457" t="str">
        <f t="shared" si="7"/>
        <v>Anchoa mitchilliNegli</v>
      </c>
    </row>
    <row r="458" spans="1:9" x14ac:dyDescent="0.35">
      <c r="A458">
        <v>14</v>
      </c>
      <c r="B458">
        <v>2016</v>
      </c>
      <c r="C458">
        <v>6</v>
      </c>
      <c r="D458" t="s">
        <v>176</v>
      </c>
      <c r="E458" t="s">
        <v>348</v>
      </c>
      <c r="F458" t="s">
        <v>121</v>
      </c>
      <c r="G458" t="s">
        <v>44</v>
      </c>
      <c r="H458" s="4">
        <v>16</v>
      </c>
      <c r="I458" t="str">
        <f t="shared" si="7"/>
        <v>Anchoa mitchilliNegli</v>
      </c>
    </row>
    <row r="459" spans="1:9" x14ac:dyDescent="0.35">
      <c r="A459">
        <v>14</v>
      </c>
      <c r="B459">
        <v>2016</v>
      </c>
      <c r="C459">
        <v>6</v>
      </c>
      <c r="D459" t="s">
        <v>176</v>
      </c>
      <c r="E459" t="s">
        <v>348</v>
      </c>
      <c r="F459" t="s">
        <v>121</v>
      </c>
      <c r="G459" t="s">
        <v>44</v>
      </c>
      <c r="H459" s="4">
        <v>13</v>
      </c>
      <c r="I459" t="str">
        <f t="shared" si="7"/>
        <v>Anchoa mitchilliNegli</v>
      </c>
    </row>
    <row r="460" spans="1:9" x14ac:dyDescent="0.35">
      <c r="A460">
        <v>14</v>
      </c>
      <c r="B460">
        <v>2016</v>
      </c>
      <c r="C460">
        <v>6</v>
      </c>
      <c r="D460" t="s">
        <v>176</v>
      </c>
      <c r="E460" t="s">
        <v>348</v>
      </c>
      <c r="F460" t="s">
        <v>121</v>
      </c>
      <c r="G460" t="s">
        <v>44</v>
      </c>
      <c r="H460" s="4">
        <v>12</v>
      </c>
      <c r="I460" t="str">
        <f t="shared" si="7"/>
        <v>Anchoa mitchilliNegli</v>
      </c>
    </row>
    <row r="461" spans="1:9" x14ac:dyDescent="0.35">
      <c r="A461">
        <v>14</v>
      </c>
      <c r="B461">
        <v>2016</v>
      </c>
      <c r="C461">
        <v>6</v>
      </c>
      <c r="D461" t="s">
        <v>176</v>
      </c>
      <c r="E461" t="s">
        <v>348</v>
      </c>
      <c r="F461" t="s">
        <v>121</v>
      </c>
      <c r="G461" t="s">
        <v>44</v>
      </c>
      <c r="H461" s="4">
        <v>13</v>
      </c>
      <c r="I461" t="str">
        <f t="shared" si="7"/>
        <v>Anchoa mitchilliNegli</v>
      </c>
    </row>
    <row r="462" spans="1:9" x14ac:dyDescent="0.35">
      <c r="A462">
        <v>14</v>
      </c>
      <c r="B462">
        <v>2016</v>
      </c>
      <c r="C462">
        <v>6</v>
      </c>
      <c r="D462" t="s">
        <v>176</v>
      </c>
      <c r="E462" t="s">
        <v>348</v>
      </c>
      <c r="F462" t="s">
        <v>121</v>
      </c>
      <c r="G462" t="s">
        <v>44</v>
      </c>
      <c r="H462" s="4">
        <v>13</v>
      </c>
      <c r="I462" t="str">
        <f t="shared" si="7"/>
        <v>Anchoa mitchilliNegli</v>
      </c>
    </row>
    <row r="463" spans="1:9" x14ac:dyDescent="0.35">
      <c r="A463">
        <v>14</v>
      </c>
      <c r="B463">
        <v>2016</v>
      </c>
      <c r="C463">
        <v>6</v>
      </c>
      <c r="D463" t="s">
        <v>176</v>
      </c>
      <c r="E463" t="s">
        <v>348</v>
      </c>
      <c r="F463" t="s">
        <v>121</v>
      </c>
      <c r="G463" t="s">
        <v>44</v>
      </c>
      <c r="H463" s="4">
        <v>13</v>
      </c>
      <c r="I463" t="str">
        <f t="shared" si="7"/>
        <v>Anchoa mitchilliNegli</v>
      </c>
    </row>
    <row r="464" spans="1:9" x14ac:dyDescent="0.35">
      <c r="A464">
        <v>14</v>
      </c>
      <c r="B464">
        <v>2016</v>
      </c>
      <c r="C464">
        <v>6</v>
      </c>
      <c r="D464" t="s">
        <v>176</v>
      </c>
      <c r="E464" t="s">
        <v>348</v>
      </c>
      <c r="F464" t="s">
        <v>121</v>
      </c>
      <c r="G464" t="s">
        <v>44</v>
      </c>
      <c r="H464" s="4">
        <v>15</v>
      </c>
      <c r="I464" t="str">
        <f t="shared" si="7"/>
        <v>Anchoa mitchilliNegli</v>
      </c>
    </row>
    <row r="465" spans="1:9" x14ac:dyDescent="0.35">
      <c r="A465">
        <v>14</v>
      </c>
      <c r="B465">
        <v>2016</v>
      </c>
      <c r="C465">
        <v>6</v>
      </c>
      <c r="D465" t="s">
        <v>176</v>
      </c>
      <c r="E465" t="s">
        <v>348</v>
      </c>
      <c r="F465" t="s">
        <v>17</v>
      </c>
      <c r="G465" t="s">
        <v>34</v>
      </c>
      <c r="H465" s="4">
        <v>22</v>
      </c>
      <c r="I465" t="str">
        <f t="shared" si="7"/>
        <v>Larimus brevicepsSilver Snapper</v>
      </c>
    </row>
    <row r="466" spans="1:9" x14ac:dyDescent="0.35">
      <c r="A466">
        <v>14</v>
      </c>
      <c r="B466">
        <v>2016</v>
      </c>
      <c r="C466">
        <v>6</v>
      </c>
      <c r="D466" t="s">
        <v>176</v>
      </c>
      <c r="E466" t="s">
        <v>348</v>
      </c>
      <c r="F466" t="s">
        <v>17</v>
      </c>
      <c r="G466" t="s">
        <v>34</v>
      </c>
      <c r="H466" s="4">
        <v>16</v>
      </c>
      <c r="I466" t="str">
        <f t="shared" si="7"/>
        <v>Larimus brevicepsSilver Snapper</v>
      </c>
    </row>
    <row r="467" spans="1:9" x14ac:dyDescent="0.35">
      <c r="A467">
        <v>14</v>
      </c>
      <c r="B467">
        <v>2016</v>
      </c>
      <c r="C467">
        <v>6</v>
      </c>
      <c r="D467" t="s">
        <v>176</v>
      </c>
      <c r="E467" t="s">
        <v>348</v>
      </c>
      <c r="F467" t="s">
        <v>17</v>
      </c>
      <c r="G467" t="s">
        <v>34</v>
      </c>
      <c r="H467" s="4">
        <v>12</v>
      </c>
      <c r="I467" t="str">
        <f t="shared" si="7"/>
        <v>Larimus brevicepsSilver Snapper</v>
      </c>
    </row>
    <row r="468" spans="1:9" x14ac:dyDescent="0.35">
      <c r="A468">
        <v>14</v>
      </c>
      <c r="B468">
        <v>2016</v>
      </c>
      <c r="C468">
        <v>6</v>
      </c>
      <c r="D468" t="s">
        <v>176</v>
      </c>
      <c r="E468" t="s">
        <v>348</v>
      </c>
      <c r="F468" t="s">
        <v>17</v>
      </c>
      <c r="G468" t="s">
        <v>34</v>
      </c>
      <c r="H468" s="4">
        <v>9</v>
      </c>
      <c r="I468" t="str">
        <f t="shared" si="7"/>
        <v>Larimus brevicepsSilver Snapper</v>
      </c>
    </row>
    <row r="469" spans="1:9" x14ac:dyDescent="0.35">
      <c r="A469">
        <v>14</v>
      </c>
      <c r="B469">
        <v>2016</v>
      </c>
      <c r="C469">
        <v>6</v>
      </c>
      <c r="D469" t="s">
        <v>176</v>
      </c>
      <c r="E469" t="s">
        <v>348</v>
      </c>
      <c r="F469" t="s">
        <v>17</v>
      </c>
      <c r="G469" t="s">
        <v>34</v>
      </c>
      <c r="H469" s="4">
        <v>16</v>
      </c>
      <c r="I469" t="str">
        <f t="shared" si="7"/>
        <v>Larimus brevicepsSilver Snapper</v>
      </c>
    </row>
    <row r="470" spans="1:9" x14ac:dyDescent="0.35">
      <c r="A470">
        <v>14</v>
      </c>
      <c r="B470">
        <v>2016</v>
      </c>
      <c r="C470">
        <v>6</v>
      </c>
      <c r="D470" t="s">
        <v>176</v>
      </c>
      <c r="E470" t="s">
        <v>348</v>
      </c>
      <c r="F470" t="s">
        <v>17</v>
      </c>
      <c r="G470" t="s">
        <v>34</v>
      </c>
      <c r="H470" s="4">
        <v>15</v>
      </c>
      <c r="I470" t="str">
        <f t="shared" si="7"/>
        <v>Larimus brevicepsSilver Snapper</v>
      </c>
    </row>
    <row r="471" spans="1:9" x14ac:dyDescent="0.35">
      <c r="A471">
        <v>14</v>
      </c>
      <c r="B471">
        <v>2016</v>
      </c>
      <c r="C471">
        <v>6</v>
      </c>
      <c r="D471" t="s">
        <v>176</v>
      </c>
      <c r="E471" t="s">
        <v>348</v>
      </c>
      <c r="F471" t="s">
        <v>17</v>
      </c>
      <c r="G471" t="s">
        <v>34</v>
      </c>
      <c r="H471" s="4">
        <v>16</v>
      </c>
      <c r="I471" t="str">
        <f t="shared" si="7"/>
        <v>Larimus brevicepsSilver Snapper</v>
      </c>
    </row>
    <row r="472" spans="1:9" x14ac:dyDescent="0.35">
      <c r="A472">
        <v>14</v>
      </c>
      <c r="B472">
        <v>2016</v>
      </c>
      <c r="C472">
        <v>6</v>
      </c>
      <c r="D472" t="s">
        <v>176</v>
      </c>
      <c r="E472" t="s">
        <v>348</v>
      </c>
      <c r="F472" t="s">
        <v>17</v>
      </c>
      <c r="G472" t="s">
        <v>34</v>
      </c>
      <c r="H472" s="4">
        <v>10</v>
      </c>
      <c r="I472" t="str">
        <f t="shared" si="7"/>
        <v>Larimus brevicepsSilver Snapper</v>
      </c>
    </row>
    <row r="473" spans="1:9" x14ac:dyDescent="0.35">
      <c r="A473">
        <v>14</v>
      </c>
      <c r="B473">
        <v>2016</v>
      </c>
      <c r="C473">
        <v>6</v>
      </c>
      <c r="D473" t="s">
        <v>176</v>
      </c>
      <c r="E473" t="s">
        <v>348</v>
      </c>
      <c r="F473" t="s">
        <v>17</v>
      </c>
      <c r="G473" t="s">
        <v>34</v>
      </c>
      <c r="H473" s="4">
        <v>10</v>
      </c>
      <c r="I473" t="str">
        <f t="shared" si="7"/>
        <v>Larimus brevicepsSilver Snapper</v>
      </c>
    </row>
    <row r="474" spans="1:9" x14ac:dyDescent="0.35">
      <c r="A474">
        <v>14</v>
      </c>
      <c r="B474">
        <v>2016</v>
      </c>
      <c r="C474">
        <v>6</v>
      </c>
      <c r="D474" t="s">
        <v>176</v>
      </c>
      <c r="E474" t="s">
        <v>348</v>
      </c>
      <c r="F474" t="s">
        <v>17</v>
      </c>
      <c r="G474" t="s">
        <v>34</v>
      </c>
      <c r="H474" s="4">
        <v>8</v>
      </c>
      <c r="I474" t="str">
        <f t="shared" si="7"/>
        <v>Larimus brevicepsSilver Snapper</v>
      </c>
    </row>
    <row r="475" spans="1:9" x14ac:dyDescent="0.35">
      <c r="A475">
        <v>14</v>
      </c>
      <c r="B475">
        <v>2016</v>
      </c>
      <c r="C475">
        <v>6</v>
      </c>
      <c r="D475" t="s">
        <v>176</v>
      </c>
      <c r="E475" t="s">
        <v>348</v>
      </c>
      <c r="F475" t="s">
        <v>50</v>
      </c>
      <c r="G475" t="s">
        <v>56</v>
      </c>
      <c r="H475" s="4">
        <v>61</v>
      </c>
      <c r="I475" t="str">
        <f t="shared" si="7"/>
        <v>Trichiurus lepturusSilverbelt</v>
      </c>
    </row>
    <row r="476" spans="1:9" x14ac:dyDescent="0.35">
      <c r="A476">
        <v>14</v>
      </c>
      <c r="B476">
        <v>2016</v>
      </c>
      <c r="C476">
        <v>6</v>
      </c>
      <c r="D476" t="s">
        <v>176</v>
      </c>
      <c r="E476" t="s">
        <v>348</v>
      </c>
      <c r="F476" t="s">
        <v>50</v>
      </c>
      <c r="G476" t="s">
        <v>56</v>
      </c>
      <c r="H476" s="4">
        <v>53</v>
      </c>
      <c r="I476" t="str">
        <f t="shared" si="7"/>
        <v>Trichiurus lepturusSilverbelt</v>
      </c>
    </row>
    <row r="477" spans="1:9" x14ac:dyDescent="0.35">
      <c r="A477">
        <v>14</v>
      </c>
      <c r="B477">
        <v>2016</v>
      </c>
      <c r="C477">
        <v>6</v>
      </c>
      <c r="D477" t="s">
        <v>176</v>
      </c>
      <c r="E477" t="s">
        <v>348</v>
      </c>
      <c r="F477" t="s">
        <v>50</v>
      </c>
      <c r="G477" t="s">
        <v>56</v>
      </c>
      <c r="H477" s="4">
        <v>66</v>
      </c>
      <c r="I477" t="str">
        <f t="shared" si="7"/>
        <v>Trichiurus lepturusSilverbelt</v>
      </c>
    </row>
    <row r="478" spans="1:9" x14ac:dyDescent="0.35">
      <c r="A478">
        <v>14</v>
      </c>
      <c r="B478">
        <v>2016</v>
      </c>
      <c r="C478">
        <v>6</v>
      </c>
      <c r="D478" t="s">
        <v>176</v>
      </c>
      <c r="E478" t="s">
        <v>348</v>
      </c>
      <c r="F478" t="s">
        <v>50</v>
      </c>
      <c r="G478" t="s">
        <v>56</v>
      </c>
      <c r="H478" s="4">
        <v>91</v>
      </c>
      <c r="I478" t="str">
        <f t="shared" si="7"/>
        <v>Trichiurus lepturusSilverbelt</v>
      </c>
    </row>
    <row r="479" spans="1:9" x14ac:dyDescent="0.35">
      <c r="A479">
        <v>14</v>
      </c>
      <c r="B479">
        <v>2016</v>
      </c>
      <c r="C479">
        <v>6</v>
      </c>
      <c r="D479" t="s">
        <v>176</v>
      </c>
      <c r="E479" t="s">
        <v>348</v>
      </c>
      <c r="F479" t="s">
        <v>50</v>
      </c>
      <c r="G479" t="s">
        <v>56</v>
      </c>
      <c r="H479" s="4">
        <v>49</v>
      </c>
      <c r="I479" t="str">
        <f t="shared" si="7"/>
        <v>Trichiurus lepturusSilverbelt</v>
      </c>
    </row>
    <row r="480" spans="1:9" x14ac:dyDescent="0.35">
      <c r="A480">
        <v>14</v>
      </c>
      <c r="B480">
        <v>2016</v>
      </c>
      <c r="C480">
        <v>6</v>
      </c>
      <c r="D480" t="s">
        <v>176</v>
      </c>
      <c r="E480" t="s">
        <v>348</v>
      </c>
      <c r="F480" t="s">
        <v>50</v>
      </c>
      <c r="G480" t="s">
        <v>56</v>
      </c>
      <c r="H480" s="4">
        <v>51</v>
      </c>
      <c r="I480" t="str">
        <f t="shared" si="7"/>
        <v>Trichiurus lepturusSilverbelt</v>
      </c>
    </row>
    <row r="481" spans="1:9" x14ac:dyDescent="0.35">
      <c r="A481">
        <v>14</v>
      </c>
      <c r="B481">
        <v>2016</v>
      </c>
      <c r="C481">
        <v>6</v>
      </c>
      <c r="D481" t="s">
        <v>176</v>
      </c>
      <c r="E481" t="s">
        <v>348</v>
      </c>
      <c r="F481" t="s">
        <v>50</v>
      </c>
      <c r="G481" t="s">
        <v>56</v>
      </c>
      <c r="H481" s="4">
        <v>55</v>
      </c>
      <c r="I481" t="str">
        <f t="shared" si="7"/>
        <v>Trichiurus lepturusSilverbelt</v>
      </c>
    </row>
    <row r="482" spans="1:9" x14ac:dyDescent="0.35">
      <c r="A482">
        <v>14</v>
      </c>
      <c r="B482">
        <v>2016</v>
      </c>
      <c r="C482">
        <v>6</v>
      </c>
      <c r="D482" t="s">
        <v>176</v>
      </c>
      <c r="E482" t="s">
        <v>348</v>
      </c>
      <c r="F482" t="s">
        <v>50</v>
      </c>
      <c r="G482" t="s">
        <v>56</v>
      </c>
      <c r="H482" s="4">
        <v>60</v>
      </c>
      <c r="I482" t="str">
        <f t="shared" si="7"/>
        <v>Trichiurus lepturusSilverbelt</v>
      </c>
    </row>
    <row r="483" spans="1:9" x14ac:dyDescent="0.35">
      <c r="A483">
        <v>14</v>
      </c>
      <c r="B483">
        <v>2016</v>
      </c>
      <c r="C483">
        <v>6</v>
      </c>
      <c r="D483" t="s">
        <v>176</v>
      </c>
      <c r="E483" t="s">
        <v>348</v>
      </c>
      <c r="F483" t="s">
        <v>50</v>
      </c>
      <c r="G483" t="s">
        <v>56</v>
      </c>
      <c r="H483" s="4">
        <v>38</v>
      </c>
      <c r="I483" t="str">
        <f t="shared" si="7"/>
        <v>Trichiurus lepturusSilverbelt</v>
      </c>
    </row>
    <row r="484" spans="1:9" x14ac:dyDescent="0.35">
      <c r="A484">
        <v>14</v>
      </c>
      <c r="B484">
        <v>2016</v>
      </c>
      <c r="C484">
        <v>6</v>
      </c>
      <c r="D484" t="s">
        <v>176</v>
      </c>
      <c r="E484" t="s">
        <v>348</v>
      </c>
      <c r="F484" t="s">
        <v>50</v>
      </c>
      <c r="G484" t="s">
        <v>56</v>
      </c>
      <c r="H484" s="4">
        <v>37</v>
      </c>
      <c r="I484" t="str">
        <f t="shared" si="7"/>
        <v>Trichiurus lepturusSilverbelt</v>
      </c>
    </row>
    <row r="485" spans="1:9" x14ac:dyDescent="0.35">
      <c r="A485">
        <v>14</v>
      </c>
      <c r="B485">
        <v>2016</v>
      </c>
      <c r="C485">
        <v>6</v>
      </c>
      <c r="D485" t="s">
        <v>176</v>
      </c>
      <c r="E485" t="s">
        <v>348</v>
      </c>
      <c r="F485" t="s">
        <v>43</v>
      </c>
      <c r="G485" t="s">
        <v>57</v>
      </c>
      <c r="H485" s="4">
        <v>25</v>
      </c>
      <c r="I485" t="str">
        <f t="shared" si="7"/>
        <v>Cynoscion virescensSeatrout</v>
      </c>
    </row>
    <row r="486" spans="1:9" x14ac:dyDescent="0.35">
      <c r="A486">
        <v>14</v>
      </c>
      <c r="B486">
        <v>2016</v>
      </c>
      <c r="C486">
        <v>6</v>
      </c>
      <c r="D486" t="s">
        <v>176</v>
      </c>
      <c r="E486" t="s">
        <v>348</v>
      </c>
      <c r="F486" t="s">
        <v>43</v>
      </c>
      <c r="G486" t="s">
        <v>57</v>
      </c>
      <c r="H486" s="4">
        <v>23</v>
      </c>
      <c r="I486" t="str">
        <f t="shared" si="7"/>
        <v>Cynoscion virescensSeatrout</v>
      </c>
    </row>
    <row r="487" spans="1:9" x14ac:dyDescent="0.35">
      <c r="A487">
        <v>14</v>
      </c>
      <c r="B487">
        <v>2016</v>
      </c>
      <c r="C487">
        <v>6</v>
      </c>
      <c r="D487" t="s">
        <v>176</v>
      </c>
      <c r="E487" t="s">
        <v>348</v>
      </c>
      <c r="F487" t="s">
        <v>43</v>
      </c>
      <c r="G487" t="s">
        <v>57</v>
      </c>
      <c r="H487" s="4">
        <v>20</v>
      </c>
      <c r="I487" t="str">
        <f t="shared" si="7"/>
        <v>Cynoscion virescensSeatrout</v>
      </c>
    </row>
    <row r="488" spans="1:9" x14ac:dyDescent="0.35">
      <c r="A488">
        <v>14</v>
      </c>
      <c r="B488">
        <v>2016</v>
      </c>
      <c r="C488">
        <v>6</v>
      </c>
      <c r="D488" t="s">
        <v>176</v>
      </c>
      <c r="E488" t="s">
        <v>348</v>
      </c>
      <c r="F488" t="s">
        <v>43</v>
      </c>
      <c r="G488" t="s">
        <v>57</v>
      </c>
      <c r="H488" s="4">
        <v>17</v>
      </c>
      <c r="I488" t="str">
        <f t="shared" si="7"/>
        <v>Cynoscion virescensSeatrout</v>
      </c>
    </row>
    <row r="489" spans="1:9" x14ac:dyDescent="0.35">
      <c r="A489">
        <v>14</v>
      </c>
      <c r="B489">
        <v>2016</v>
      </c>
      <c r="C489">
        <v>6</v>
      </c>
      <c r="D489" t="s">
        <v>176</v>
      </c>
      <c r="E489" t="s">
        <v>348</v>
      </c>
      <c r="F489" t="s">
        <v>43</v>
      </c>
      <c r="G489" t="s">
        <v>57</v>
      </c>
      <c r="H489" s="4">
        <v>15</v>
      </c>
      <c r="I489" t="str">
        <f t="shared" si="7"/>
        <v>Cynoscion virescensSeatrout</v>
      </c>
    </row>
    <row r="490" spans="1:9" x14ac:dyDescent="0.35">
      <c r="A490">
        <v>14</v>
      </c>
      <c r="B490">
        <v>2016</v>
      </c>
      <c r="C490">
        <v>6</v>
      </c>
      <c r="D490" t="s">
        <v>176</v>
      </c>
      <c r="E490" t="s">
        <v>348</v>
      </c>
      <c r="F490" t="s">
        <v>122</v>
      </c>
      <c r="G490" t="s">
        <v>53</v>
      </c>
      <c r="H490" s="4">
        <v>17</v>
      </c>
      <c r="I490" t="str">
        <f t="shared" si="7"/>
        <v>Pellona harroweriRiver Pellona</v>
      </c>
    </row>
    <row r="491" spans="1:9" x14ac:dyDescent="0.35">
      <c r="A491">
        <v>14</v>
      </c>
      <c r="B491">
        <v>2016</v>
      </c>
      <c r="C491">
        <v>6</v>
      </c>
      <c r="D491" t="s">
        <v>176</v>
      </c>
      <c r="E491" t="s">
        <v>348</v>
      </c>
      <c r="F491" t="s">
        <v>122</v>
      </c>
      <c r="G491" t="s">
        <v>53</v>
      </c>
      <c r="H491" s="4">
        <v>15</v>
      </c>
      <c r="I491" t="str">
        <f t="shared" si="7"/>
        <v>Pellona harroweriRiver Pellona</v>
      </c>
    </row>
    <row r="492" spans="1:9" x14ac:dyDescent="0.35">
      <c r="A492">
        <v>14</v>
      </c>
      <c r="B492">
        <v>2016</v>
      </c>
      <c r="C492">
        <v>6</v>
      </c>
      <c r="D492" t="s">
        <v>176</v>
      </c>
      <c r="E492" t="s">
        <v>348</v>
      </c>
      <c r="F492" t="s">
        <v>122</v>
      </c>
      <c r="G492" t="s">
        <v>53</v>
      </c>
      <c r="H492" s="4">
        <v>14</v>
      </c>
      <c r="I492" t="str">
        <f t="shared" si="7"/>
        <v>Pellona harroweriRiver Pellona</v>
      </c>
    </row>
    <row r="493" spans="1:9" x14ac:dyDescent="0.35">
      <c r="A493">
        <v>14</v>
      </c>
      <c r="B493">
        <v>2016</v>
      </c>
      <c r="C493">
        <v>6</v>
      </c>
      <c r="D493" t="s">
        <v>176</v>
      </c>
      <c r="E493" t="s">
        <v>348</v>
      </c>
      <c r="F493" t="s">
        <v>122</v>
      </c>
      <c r="G493" t="s">
        <v>53</v>
      </c>
      <c r="H493" s="4">
        <v>15</v>
      </c>
      <c r="I493" t="str">
        <f t="shared" si="7"/>
        <v>Pellona harroweriRiver Pellona</v>
      </c>
    </row>
    <row r="494" spans="1:9" x14ac:dyDescent="0.35">
      <c r="A494">
        <v>14</v>
      </c>
      <c r="B494">
        <v>2016</v>
      </c>
      <c r="C494">
        <v>6</v>
      </c>
      <c r="D494" t="s">
        <v>176</v>
      </c>
      <c r="E494" t="s">
        <v>348</v>
      </c>
      <c r="F494" t="s">
        <v>122</v>
      </c>
      <c r="G494" t="s">
        <v>53</v>
      </c>
      <c r="H494" s="4">
        <v>14</v>
      </c>
      <c r="I494" t="str">
        <f t="shared" si="7"/>
        <v>Pellona harroweriRiver Pellona</v>
      </c>
    </row>
    <row r="495" spans="1:9" x14ac:dyDescent="0.35">
      <c r="A495">
        <v>14</v>
      </c>
      <c r="B495">
        <v>2016</v>
      </c>
      <c r="C495">
        <v>6</v>
      </c>
      <c r="D495" t="s">
        <v>176</v>
      </c>
      <c r="E495" t="s">
        <v>348</v>
      </c>
      <c r="F495" t="s">
        <v>122</v>
      </c>
      <c r="G495" t="s">
        <v>53</v>
      </c>
      <c r="H495" s="4">
        <v>12</v>
      </c>
      <c r="I495" t="str">
        <f t="shared" si="7"/>
        <v>Pellona harroweriRiver Pellona</v>
      </c>
    </row>
    <row r="496" spans="1:9" x14ac:dyDescent="0.35">
      <c r="A496">
        <v>14</v>
      </c>
      <c r="B496">
        <v>2016</v>
      </c>
      <c r="C496">
        <v>6</v>
      </c>
      <c r="D496" t="s">
        <v>176</v>
      </c>
      <c r="E496" t="s">
        <v>348</v>
      </c>
      <c r="F496" t="s">
        <v>122</v>
      </c>
      <c r="G496" t="s">
        <v>53</v>
      </c>
      <c r="H496" s="4">
        <v>11</v>
      </c>
      <c r="I496" t="str">
        <f t="shared" si="7"/>
        <v>Pellona harroweriRiver Pellona</v>
      </c>
    </row>
    <row r="497" spans="1:9" x14ac:dyDescent="0.35">
      <c r="A497">
        <v>14</v>
      </c>
      <c r="B497">
        <v>2016</v>
      </c>
      <c r="C497">
        <v>6</v>
      </c>
      <c r="D497" t="s">
        <v>176</v>
      </c>
      <c r="E497" t="s">
        <v>348</v>
      </c>
      <c r="F497" t="s">
        <v>122</v>
      </c>
      <c r="G497" t="s">
        <v>53</v>
      </c>
      <c r="H497" s="4">
        <v>12</v>
      </c>
      <c r="I497" t="str">
        <f t="shared" si="7"/>
        <v>Pellona harroweriRiver Pellona</v>
      </c>
    </row>
    <row r="498" spans="1:9" x14ac:dyDescent="0.35">
      <c r="A498">
        <v>14</v>
      </c>
      <c r="B498">
        <v>2016</v>
      </c>
      <c r="C498">
        <v>6</v>
      </c>
      <c r="D498" t="s">
        <v>176</v>
      </c>
      <c r="E498" t="s">
        <v>348</v>
      </c>
      <c r="F498" t="s">
        <v>122</v>
      </c>
      <c r="G498" t="s">
        <v>53</v>
      </c>
      <c r="H498" s="4">
        <v>11</v>
      </c>
      <c r="I498" t="str">
        <f t="shared" si="7"/>
        <v>Pellona harroweriRiver Pellona</v>
      </c>
    </row>
    <row r="499" spans="1:9" x14ac:dyDescent="0.35">
      <c r="A499">
        <v>14</v>
      </c>
      <c r="B499">
        <v>2016</v>
      </c>
      <c r="C499">
        <v>6</v>
      </c>
      <c r="D499" t="s">
        <v>176</v>
      </c>
      <c r="E499" t="s">
        <v>348</v>
      </c>
      <c r="F499" t="s">
        <v>122</v>
      </c>
      <c r="G499" t="s">
        <v>53</v>
      </c>
      <c r="H499" s="4">
        <v>10</v>
      </c>
      <c r="I499" t="str">
        <f t="shared" si="7"/>
        <v>Pellona harroweriRiver Pellona</v>
      </c>
    </row>
    <row r="500" spans="1:9" x14ac:dyDescent="0.35">
      <c r="A500">
        <v>15</v>
      </c>
      <c r="B500">
        <v>2016</v>
      </c>
      <c r="C500">
        <v>8</v>
      </c>
      <c r="D500" t="s">
        <v>173</v>
      </c>
      <c r="E500" t="s">
        <v>348</v>
      </c>
      <c r="F500" t="s">
        <v>40</v>
      </c>
      <c r="G500" t="s">
        <v>35</v>
      </c>
      <c r="H500" s="4">
        <v>19</v>
      </c>
      <c r="I500" t="str">
        <f t="shared" si="7"/>
        <v>Macrodon ancylodonBangamary</v>
      </c>
    </row>
    <row r="501" spans="1:9" x14ac:dyDescent="0.35">
      <c r="A501">
        <v>15</v>
      </c>
      <c r="B501">
        <v>2016</v>
      </c>
      <c r="C501">
        <v>8</v>
      </c>
      <c r="D501" t="s">
        <v>173</v>
      </c>
      <c r="E501" t="s">
        <v>348</v>
      </c>
      <c r="F501" t="s">
        <v>40</v>
      </c>
      <c r="G501" t="s">
        <v>35</v>
      </c>
      <c r="H501" s="4">
        <v>23</v>
      </c>
      <c r="I501" t="str">
        <f t="shared" si="7"/>
        <v>Macrodon ancylodonBangamary</v>
      </c>
    </row>
    <row r="502" spans="1:9" x14ac:dyDescent="0.35">
      <c r="A502">
        <v>15</v>
      </c>
      <c r="B502">
        <v>2016</v>
      </c>
      <c r="C502">
        <v>8</v>
      </c>
      <c r="D502" t="s">
        <v>173</v>
      </c>
      <c r="E502" t="s">
        <v>348</v>
      </c>
      <c r="F502" t="s">
        <v>40</v>
      </c>
      <c r="G502" t="s">
        <v>35</v>
      </c>
      <c r="H502" s="4">
        <v>23</v>
      </c>
      <c r="I502" t="str">
        <f t="shared" si="7"/>
        <v>Macrodon ancylodonBangamary</v>
      </c>
    </row>
    <row r="503" spans="1:9" x14ac:dyDescent="0.35">
      <c r="A503">
        <v>15</v>
      </c>
      <c r="B503">
        <v>2016</v>
      </c>
      <c r="C503">
        <v>8</v>
      </c>
      <c r="D503" t="s">
        <v>173</v>
      </c>
      <c r="E503" t="s">
        <v>348</v>
      </c>
      <c r="F503" t="s">
        <v>40</v>
      </c>
      <c r="G503" t="s">
        <v>35</v>
      </c>
      <c r="H503" s="4">
        <v>23</v>
      </c>
      <c r="I503" t="str">
        <f t="shared" si="7"/>
        <v>Macrodon ancylodonBangamary</v>
      </c>
    </row>
    <row r="504" spans="1:9" x14ac:dyDescent="0.35">
      <c r="A504">
        <v>15</v>
      </c>
      <c r="B504">
        <v>2016</v>
      </c>
      <c r="C504">
        <v>8</v>
      </c>
      <c r="D504" t="s">
        <v>173</v>
      </c>
      <c r="E504" t="s">
        <v>348</v>
      </c>
      <c r="F504" t="s">
        <v>40</v>
      </c>
      <c r="G504" t="s">
        <v>35</v>
      </c>
      <c r="H504" s="4">
        <v>23</v>
      </c>
      <c r="I504" t="str">
        <f t="shared" si="7"/>
        <v>Macrodon ancylodonBangamary</v>
      </c>
    </row>
    <row r="505" spans="1:9" x14ac:dyDescent="0.35">
      <c r="A505">
        <v>15</v>
      </c>
      <c r="B505">
        <v>2016</v>
      </c>
      <c r="C505">
        <v>8</v>
      </c>
      <c r="D505" t="s">
        <v>173</v>
      </c>
      <c r="E505" t="s">
        <v>348</v>
      </c>
      <c r="F505" t="s">
        <v>40</v>
      </c>
      <c r="G505" t="s">
        <v>35</v>
      </c>
      <c r="H505" s="4">
        <v>17</v>
      </c>
      <c r="I505" t="str">
        <f t="shared" si="7"/>
        <v>Macrodon ancylodonBangamary</v>
      </c>
    </row>
    <row r="506" spans="1:9" x14ac:dyDescent="0.35">
      <c r="A506">
        <v>15</v>
      </c>
      <c r="B506">
        <v>2016</v>
      </c>
      <c r="C506">
        <v>8</v>
      </c>
      <c r="D506" t="s">
        <v>173</v>
      </c>
      <c r="E506" t="s">
        <v>348</v>
      </c>
      <c r="F506" t="s">
        <v>40</v>
      </c>
      <c r="G506" t="s">
        <v>35</v>
      </c>
      <c r="H506" s="4">
        <v>22</v>
      </c>
      <c r="I506" t="str">
        <f t="shared" si="7"/>
        <v>Macrodon ancylodonBangamary</v>
      </c>
    </row>
    <row r="507" spans="1:9" x14ac:dyDescent="0.35">
      <c r="A507">
        <v>15</v>
      </c>
      <c r="B507">
        <v>2016</v>
      </c>
      <c r="C507">
        <v>8</v>
      </c>
      <c r="D507" t="s">
        <v>173</v>
      </c>
      <c r="E507" t="s">
        <v>348</v>
      </c>
      <c r="F507" t="s">
        <v>40</v>
      </c>
      <c r="G507" t="s">
        <v>35</v>
      </c>
      <c r="H507" s="4">
        <v>21</v>
      </c>
      <c r="I507" t="str">
        <f t="shared" si="7"/>
        <v>Macrodon ancylodonBangamary</v>
      </c>
    </row>
    <row r="508" spans="1:9" x14ac:dyDescent="0.35">
      <c r="A508">
        <v>15</v>
      </c>
      <c r="B508">
        <v>2016</v>
      </c>
      <c r="C508">
        <v>8</v>
      </c>
      <c r="D508" t="s">
        <v>173</v>
      </c>
      <c r="E508" t="s">
        <v>348</v>
      </c>
      <c r="F508" t="s">
        <v>40</v>
      </c>
      <c r="G508" t="s">
        <v>35</v>
      </c>
      <c r="H508" s="4">
        <v>23</v>
      </c>
      <c r="I508" t="str">
        <f t="shared" si="7"/>
        <v>Macrodon ancylodonBangamary</v>
      </c>
    </row>
    <row r="509" spans="1:9" x14ac:dyDescent="0.35">
      <c r="A509">
        <v>15</v>
      </c>
      <c r="B509">
        <v>2016</v>
      </c>
      <c r="C509">
        <v>8</v>
      </c>
      <c r="D509" t="s">
        <v>173</v>
      </c>
      <c r="E509" t="s">
        <v>348</v>
      </c>
      <c r="F509" t="s">
        <v>40</v>
      </c>
      <c r="G509" t="s">
        <v>35</v>
      </c>
      <c r="H509" s="4">
        <v>20</v>
      </c>
      <c r="I509" t="str">
        <f t="shared" si="7"/>
        <v>Macrodon ancylodonBangamary</v>
      </c>
    </row>
    <row r="510" spans="1:9" x14ac:dyDescent="0.35">
      <c r="A510">
        <v>15</v>
      </c>
      <c r="B510">
        <v>2016</v>
      </c>
      <c r="C510">
        <v>8</v>
      </c>
      <c r="D510" t="s">
        <v>173</v>
      </c>
      <c r="E510" t="s">
        <v>348</v>
      </c>
      <c r="F510" t="s">
        <v>40</v>
      </c>
      <c r="G510" t="s">
        <v>35</v>
      </c>
      <c r="H510" s="4">
        <v>23</v>
      </c>
      <c r="I510" t="str">
        <f t="shared" si="7"/>
        <v>Macrodon ancylodonBangamary</v>
      </c>
    </row>
    <row r="511" spans="1:9" x14ac:dyDescent="0.35">
      <c r="A511">
        <v>15</v>
      </c>
      <c r="B511">
        <v>2016</v>
      </c>
      <c r="C511">
        <v>8</v>
      </c>
      <c r="D511" t="s">
        <v>173</v>
      </c>
      <c r="E511" t="s">
        <v>348</v>
      </c>
      <c r="F511" t="s">
        <v>40</v>
      </c>
      <c r="G511" t="s">
        <v>35</v>
      </c>
      <c r="H511" s="4">
        <v>20</v>
      </c>
      <c r="I511" t="str">
        <f t="shared" si="7"/>
        <v>Macrodon ancylodonBangamary</v>
      </c>
    </row>
    <row r="512" spans="1:9" x14ac:dyDescent="0.35">
      <c r="A512">
        <v>15</v>
      </c>
      <c r="B512">
        <v>2016</v>
      </c>
      <c r="C512">
        <v>8</v>
      </c>
      <c r="D512" t="s">
        <v>173</v>
      </c>
      <c r="E512" t="s">
        <v>348</v>
      </c>
      <c r="F512" t="s">
        <v>40</v>
      </c>
      <c r="G512" t="s">
        <v>35</v>
      </c>
      <c r="H512" s="4">
        <v>19</v>
      </c>
      <c r="I512" t="str">
        <f t="shared" si="7"/>
        <v>Macrodon ancylodonBangamary</v>
      </c>
    </row>
    <row r="513" spans="1:9" x14ac:dyDescent="0.35">
      <c r="A513">
        <v>15</v>
      </c>
      <c r="B513">
        <v>2016</v>
      </c>
      <c r="C513">
        <v>8</v>
      </c>
      <c r="D513" t="s">
        <v>173</v>
      </c>
      <c r="E513" t="s">
        <v>348</v>
      </c>
      <c r="F513" t="s">
        <v>40</v>
      </c>
      <c r="G513" t="s">
        <v>35</v>
      </c>
      <c r="H513" s="4">
        <v>18</v>
      </c>
      <c r="I513" t="str">
        <f t="shared" si="7"/>
        <v>Macrodon ancylodonBangamary</v>
      </c>
    </row>
    <row r="514" spans="1:9" x14ac:dyDescent="0.35">
      <c r="A514">
        <v>15</v>
      </c>
      <c r="B514">
        <v>2016</v>
      </c>
      <c r="C514">
        <v>8</v>
      </c>
      <c r="D514" t="s">
        <v>173</v>
      </c>
      <c r="E514" t="s">
        <v>348</v>
      </c>
      <c r="F514" t="s">
        <v>40</v>
      </c>
      <c r="G514" t="s">
        <v>35</v>
      </c>
      <c r="H514" s="4">
        <v>17</v>
      </c>
      <c r="I514" t="str">
        <f t="shared" ref="I514:I577" si="8">CONCATENATE(F514,G514)</f>
        <v>Macrodon ancylodonBangamary</v>
      </c>
    </row>
    <row r="515" spans="1:9" x14ac:dyDescent="0.35">
      <c r="A515">
        <v>15</v>
      </c>
      <c r="B515">
        <v>2016</v>
      </c>
      <c r="C515">
        <v>8</v>
      </c>
      <c r="D515" t="s">
        <v>173</v>
      </c>
      <c r="E515" t="s">
        <v>348</v>
      </c>
      <c r="F515" t="s">
        <v>40</v>
      </c>
      <c r="G515" t="s">
        <v>35</v>
      </c>
      <c r="H515" s="4">
        <v>19</v>
      </c>
      <c r="I515" t="str">
        <f t="shared" si="8"/>
        <v>Macrodon ancylodonBangamary</v>
      </c>
    </row>
    <row r="516" spans="1:9" x14ac:dyDescent="0.35">
      <c r="A516">
        <v>15</v>
      </c>
      <c r="B516">
        <v>2016</v>
      </c>
      <c r="C516">
        <v>8</v>
      </c>
      <c r="D516" t="s">
        <v>173</v>
      </c>
      <c r="E516" t="s">
        <v>348</v>
      </c>
      <c r="F516" t="s">
        <v>40</v>
      </c>
      <c r="G516" t="s">
        <v>35</v>
      </c>
      <c r="H516" s="4">
        <v>17</v>
      </c>
      <c r="I516" t="str">
        <f t="shared" si="8"/>
        <v>Macrodon ancylodonBangamary</v>
      </c>
    </row>
    <row r="517" spans="1:9" x14ac:dyDescent="0.35">
      <c r="A517">
        <v>15</v>
      </c>
      <c r="B517">
        <v>2016</v>
      </c>
      <c r="C517">
        <v>8</v>
      </c>
      <c r="D517" t="s">
        <v>173</v>
      </c>
      <c r="E517" t="s">
        <v>348</v>
      </c>
      <c r="F517" t="s">
        <v>40</v>
      </c>
      <c r="G517" t="s">
        <v>35</v>
      </c>
      <c r="H517" s="4">
        <v>16</v>
      </c>
      <c r="I517" t="str">
        <f t="shared" si="8"/>
        <v>Macrodon ancylodonBangamary</v>
      </c>
    </row>
    <row r="518" spans="1:9" x14ac:dyDescent="0.35">
      <c r="A518">
        <v>15</v>
      </c>
      <c r="B518">
        <v>2016</v>
      </c>
      <c r="C518">
        <v>8</v>
      </c>
      <c r="D518" t="s">
        <v>173</v>
      </c>
      <c r="E518" t="s">
        <v>348</v>
      </c>
      <c r="F518" t="s">
        <v>40</v>
      </c>
      <c r="G518" t="s">
        <v>35</v>
      </c>
      <c r="H518" s="4">
        <v>15</v>
      </c>
      <c r="I518" t="str">
        <f t="shared" si="8"/>
        <v>Macrodon ancylodonBangamary</v>
      </c>
    </row>
    <row r="519" spans="1:9" x14ac:dyDescent="0.35">
      <c r="A519">
        <v>15</v>
      </c>
      <c r="B519">
        <v>2016</v>
      </c>
      <c r="C519">
        <v>8</v>
      </c>
      <c r="D519" t="s">
        <v>173</v>
      </c>
      <c r="E519" t="s">
        <v>348</v>
      </c>
      <c r="F519" t="s">
        <v>40</v>
      </c>
      <c r="G519" t="s">
        <v>35</v>
      </c>
      <c r="H519" s="4">
        <v>13</v>
      </c>
      <c r="I519" t="str">
        <f t="shared" si="8"/>
        <v>Macrodon ancylodonBangamary</v>
      </c>
    </row>
    <row r="520" spans="1:9" x14ac:dyDescent="0.35">
      <c r="A520">
        <v>15</v>
      </c>
      <c r="B520">
        <v>2016</v>
      </c>
      <c r="C520">
        <v>8</v>
      </c>
      <c r="D520" t="s">
        <v>173</v>
      </c>
      <c r="E520" t="s">
        <v>348</v>
      </c>
      <c r="F520" t="s">
        <v>40</v>
      </c>
      <c r="G520" t="s">
        <v>35</v>
      </c>
      <c r="H520" s="4">
        <v>11</v>
      </c>
      <c r="I520" t="str">
        <f t="shared" si="8"/>
        <v>Macrodon ancylodonBangamary</v>
      </c>
    </row>
    <row r="521" spans="1:9" x14ac:dyDescent="0.35">
      <c r="A521">
        <v>15</v>
      </c>
      <c r="B521">
        <v>2016</v>
      </c>
      <c r="C521">
        <v>8</v>
      </c>
      <c r="D521" t="s">
        <v>173</v>
      </c>
      <c r="E521" t="s">
        <v>348</v>
      </c>
      <c r="F521" t="s">
        <v>40</v>
      </c>
      <c r="G521" t="s">
        <v>35</v>
      </c>
      <c r="H521" s="4">
        <v>12</v>
      </c>
      <c r="I521" t="str">
        <f t="shared" si="8"/>
        <v>Macrodon ancylodonBangamary</v>
      </c>
    </row>
    <row r="522" spans="1:9" x14ac:dyDescent="0.35">
      <c r="A522">
        <v>15</v>
      </c>
      <c r="B522">
        <v>2016</v>
      </c>
      <c r="C522">
        <v>8</v>
      </c>
      <c r="D522" t="s">
        <v>173</v>
      </c>
      <c r="E522" t="s">
        <v>348</v>
      </c>
      <c r="F522" t="s">
        <v>40</v>
      </c>
      <c r="G522" t="s">
        <v>35</v>
      </c>
      <c r="H522" s="4">
        <v>11</v>
      </c>
      <c r="I522" t="str">
        <f t="shared" si="8"/>
        <v>Macrodon ancylodonBangamary</v>
      </c>
    </row>
    <row r="523" spans="1:9" x14ac:dyDescent="0.35">
      <c r="A523">
        <v>15</v>
      </c>
      <c r="B523">
        <v>2016</v>
      </c>
      <c r="C523">
        <v>8</v>
      </c>
      <c r="D523" t="s">
        <v>173</v>
      </c>
      <c r="E523" t="s">
        <v>348</v>
      </c>
      <c r="F523" t="s">
        <v>40</v>
      </c>
      <c r="G523" t="s">
        <v>35</v>
      </c>
      <c r="H523" s="4">
        <v>13</v>
      </c>
      <c r="I523" t="str">
        <f t="shared" si="8"/>
        <v>Macrodon ancylodonBangamary</v>
      </c>
    </row>
    <row r="524" spans="1:9" x14ac:dyDescent="0.35">
      <c r="A524">
        <v>15</v>
      </c>
      <c r="B524">
        <v>2016</v>
      </c>
      <c r="C524">
        <v>8</v>
      </c>
      <c r="D524" t="s">
        <v>173</v>
      </c>
      <c r="E524" t="s">
        <v>348</v>
      </c>
      <c r="F524" t="s">
        <v>40</v>
      </c>
      <c r="G524" t="s">
        <v>35</v>
      </c>
      <c r="H524" s="4">
        <v>14</v>
      </c>
      <c r="I524" t="str">
        <f t="shared" si="8"/>
        <v>Macrodon ancylodonBangamary</v>
      </c>
    </row>
    <row r="525" spans="1:9" x14ac:dyDescent="0.35">
      <c r="A525">
        <v>15</v>
      </c>
      <c r="B525">
        <v>2016</v>
      </c>
      <c r="C525">
        <v>8</v>
      </c>
      <c r="D525" t="s">
        <v>173</v>
      </c>
      <c r="E525" t="s">
        <v>348</v>
      </c>
      <c r="F525" t="s">
        <v>40</v>
      </c>
      <c r="G525" t="s">
        <v>35</v>
      </c>
      <c r="H525" s="4">
        <v>14</v>
      </c>
      <c r="I525" t="str">
        <f t="shared" si="8"/>
        <v>Macrodon ancylodonBangamary</v>
      </c>
    </row>
    <row r="526" spans="1:9" x14ac:dyDescent="0.35">
      <c r="A526">
        <v>15</v>
      </c>
      <c r="B526">
        <v>2016</v>
      </c>
      <c r="C526">
        <v>8</v>
      </c>
      <c r="D526" t="s">
        <v>173</v>
      </c>
      <c r="E526" t="s">
        <v>348</v>
      </c>
      <c r="F526" t="s">
        <v>40</v>
      </c>
      <c r="G526" t="s">
        <v>35</v>
      </c>
      <c r="H526" s="4">
        <v>16</v>
      </c>
      <c r="I526" t="str">
        <f t="shared" si="8"/>
        <v>Macrodon ancylodonBangamary</v>
      </c>
    </row>
    <row r="527" spans="1:9" x14ac:dyDescent="0.35">
      <c r="A527">
        <v>15</v>
      </c>
      <c r="B527">
        <v>2016</v>
      </c>
      <c r="C527">
        <v>8</v>
      </c>
      <c r="D527" t="s">
        <v>173</v>
      </c>
      <c r="E527" t="s">
        <v>348</v>
      </c>
      <c r="F527" t="s">
        <v>40</v>
      </c>
      <c r="G527" t="s">
        <v>35</v>
      </c>
      <c r="H527" s="4">
        <v>11</v>
      </c>
      <c r="I527" t="str">
        <f t="shared" si="8"/>
        <v>Macrodon ancylodonBangamary</v>
      </c>
    </row>
    <row r="528" spans="1:9" x14ac:dyDescent="0.35">
      <c r="A528">
        <v>15</v>
      </c>
      <c r="B528">
        <v>2016</v>
      </c>
      <c r="C528">
        <v>8</v>
      </c>
      <c r="D528" t="s">
        <v>173</v>
      </c>
      <c r="E528" t="s">
        <v>348</v>
      </c>
      <c r="F528" t="s">
        <v>40</v>
      </c>
      <c r="G528" t="s">
        <v>35</v>
      </c>
      <c r="H528" s="4">
        <v>23</v>
      </c>
      <c r="I528" t="str">
        <f t="shared" si="8"/>
        <v>Macrodon ancylodonBangamary</v>
      </c>
    </row>
    <row r="529" spans="1:9" x14ac:dyDescent="0.35">
      <c r="A529">
        <v>15</v>
      </c>
      <c r="B529">
        <v>2016</v>
      </c>
      <c r="C529">
        <v>8</v>
      </c>
      <c r="D529" t="s">
        <v>173</v>
      </c>
      <c r="E529" t="s">
        <v>348</v>
      </c>
      <c r="F529" t="s">
        <v>40</v>
      </c>
      <c r="G529" t="s">
        <v>35</v>
      </c>
      <c r="H529" s="4">
        <v>11</v>
      </c>
      <c r="I529" t="str">
        <f t="shared" si="8"/>
        <v>Macrodon ancylodonBangamary</v>
      </c>
    </row>
    <row r="530" spans="1:9" x14ac:dyDescent="0.35">
      <c r="A530">
        <v>15</v>
      </c>
      <c r="B530">
        <v>2016</v>
      </c>
      <c r="C530">
        <v>8</v>
      </c>
      <c r="D530" t="s">
        <v>173</v>
      </c>
      <c r="E530" t="s">
        <v>348</v>
      </c>
      <c r="F530" t="s">
        <v>21</v>
      </c>
      <c r="G530" t="s">
        <v>59</v>
      </c>
      <c r="H530" s="4">
        <v>13</v>
      </c>
      <c r="I530" t="str">
        <f t="shared" si="8"/>
        <v>Stellifer micropsRockhead</v>
      </c>
    </row>
    <row r="531" spans="1:9" x14ac:dyDescent="0.35">
      <c r="A531">
        <v>15</v>
      </c>
      <c r="B531">
        <v>2016</v>
      </c>
      <c r="C531">
        <v>8</v>
      </c>
      <c r="D531" t="s">
        <v>173</v>
      </c>
      <c r="E531" t="s">
        <v>348</v>
      </c>
      <c r="F531" t="s">
        <v>21</v>
      </c>
      <c r="G531" t="s">
        <v>59</v>
      </c>
      <c r="H531" s="4">
        <v>11</v>
      </c>
      <c r="I531" t="str">
        <f t="shared" si="8"/>
        <v>Stellifer micropsRockhead</v>
      </c>
    </row>
    <row r="532" spans="1:9" x14ac:dyDescent="0.35">
      <c r="A532">
        <v>15</v>
      </c>
      <c r="B532">
        <v>2016</v>
      </c>
      <c r="C532">
        <v>8</v>
      </c>
      <c r="D532" t="s">
        <v>173</v>
      </c>
      <c r="E532" t="s">
        <v>348</v>
      </c>
      <c r="F532" t="s">
        <v>21</v>
      </c>
      <c r="G532" t="s">
        <v>59</v>
      </c>
      <c r="H532" s="4">
        <v>15</v>
      </c>
      <c r="I532" t="str">
        <f t="shared" si="8"/>
        <v>Stellifer micropsRockhead</v>
      </c>
    </row>
    <row r="533" spans="1:9" x14ac:dyDescent="0.35">
      <c r="A533">
        <v>15</v>
      </c>
      <c r="B533">
        <v>2016</v>
      </c>
      <c r="C533">
        <v>8</v>
      </c>
      <c r="D533" t="s">
        <v>173</v>
      </c>
      <c r="E533" t="s">
        <v>348</v>
      </c>
      <c r="F533" t="s">
        <v>21</v>
      </c>
      <c r="G533" t="s">
        <v>59</v>
      </c>
      <c r="H533" s="4">
        <v>15</v>
      </c>
      <c r="I533" t="str">
        <f t="shared" si="8"/>
        <v>Stellifer micropsRockhead</v>
      </c>
    </row>
    <row r="534" spans="1:9" x14ac:dyDescent="0.35">
      <c r="A534">
        <v>15</v>
      </c>
      <c r="B534">
        <v>2016</v>
      </c>
      <c r="C534">
        <v>8</v>
      </c>
      <c r="D534" t="s">
        <v>173</v>
      </c>
      <c r="E534" t="s">
        <v>348</v>
      </c>
      <c r="F534" t="s">
        <v>21</v>
      </c>
      <c r="G534" t="s">
        <v>59</v>
      </c>
      <c r="H534" s="4">
        <v>16</v>
      </c>
      <c r="I534" t="str">
        <f t="shared" si="8"/>
        <v>Stellifer micropsRockhead</v>
      </c>
    </row>
    <row r="535" spans="1:9" x14ac:dyDescent="0.35">
      <c r="A535">
        <v>15</v>
      </c>
      <c r="B535">
        <v>2016</v>
      </c>
      <c r="C535">
        <v>8</v>
      </c>
      <c r="D535" t="s">
        <v>173</v>
      </c>
      <c r="E535" t="s">
        <v>348</v>
      </c>
      <c r="F535" t="s">
        <v>21</v>
      </c>
      <c r="G535" t="s">
        <v>59</v>
      </c>
      <c r="H535" s="4">
        <v>18</v>
      </c>
      <c r="I535" t="str">
        <f t="shared" si="8"/>
        <v>Stellifer micropsRockhead</v>
      </c>
    </row>
    <row r="536" spans="1:9" x14ac:dyDescent="0.35">
      <c r="A536">
        <v>15</v>
      </c>
      <c r="B536">
        <v>2016</v>
      </c>
      <c r="C536">
        <v>8</v>
      </c>
      <c r="D536" t="s">
        <v>173</v>
      </c>
      <c r="E536" t="s">
        <v>348</v>
      </c>
      <c r="F536" t="s">
        <v>21</v>
      </c>
      <c r="G536" t="s">
        <v>59</v>
      </c>
      <c r="H536" s="4">
        <v>16</v>
      </c>
      <c r="I536" t="str">
        <f t="shared" si="8"/>
        <v>Stellifer micropsRockhead</v>
      </c>
    </row>
    <row r="537" spans="1:9" x14ac:dyDescent="0.35">
      <c r="A537">
        <v>15</v>
      </c>
      <c r="B537">
        <v>2016</v>
      </c>
      <c r="C537">
        <v>8</v>
      </c>
      <c r="D537" t="s">
        <v>173</v>
      </c>
      <c r="E537" t="s">
        <v>348</v>
      </c>
      <c r="F537" t="s">
        <v>21</v>
      </c>
      <c r="G537" t="s">
        <v>59</v>
      </c>
      <c r="H537" s="4">
        <v>15</v>
      </c>
      <c r="I537" t="str">
        <f t="shared" si="8"/>
        <v>Stellifer micropsRockhead</v>
      </c>
    </row>
    <row r="538" spans="1:9" x14ac:dyDescent="0.35">
      <c r="A538">
        <v>15</v>
      </c>
      <c r="B538">
        <v>2016</v>
      </c>
      <c r="C538">
        <v>8</v>
      </c>
      <c r="D538" t="s">
        <v>173</v>
      </c>
      <c r="E538" t="s">
        <v>348</v>
      </c>
      <c r="F538" t="s">
        <v>21</v>
      </c>
      <c r="G538" t="s">
        <v>59</v>
      </c>
      <c r="H538" s="4">
        <v>17</v>
      </c>
      <c r="I538" t="str">
        <f t="shared" si="8"/>
        <v>Stellifer micropsRockhead</v>
      </c>
    </row>
    <row r="539" spans="1:9" x14ac:dyDescent="0.35">
      <c r="A539">
        <v>15</v>
      </c>
      <c r="B539">
        <v>2016</v>
      </c>
      <c r="C539">
        <v>8</v>
      </c>
      <c r="D539" t="s">
        <v>173</v>
      </c>
      <c r="E539" t="s">
        <v>348</v>
      </c>
      <c r="F539" t="s">
        <v>21</v>
      </c>
      <c r="G539" t="s">
        <v>59</v>
      </c>
      <c r="H539" s="4">
        <v>17</v>
      </c>
      <c r="I539" t="str">
        <f t="shared" si="8"/>
        <v>Stellifer micropsRockhead</v>
      </c>
    </row>
    <row r="540" spans="1:9" x14ac:dyDescent="0.35">
      <c r="A540">
        <v>15</v>
      </c>
      <c r="B540">
        <v>2016</v>
      </c>
      <c r="C540">
        <v>8</v>
      </c>
      <c r="D540" t="s">
        <v>173</v>
      </c>
      <c r="E540" t="s">
        <v>348</v>
      </c>
      <c r="F540" t="s">
        <v>21</v>
      </c>
      <c r="G540" t="s">
        <v>59</v>
      </c>
      <c r="H540" s="4">
        <v>10</v>
      </c>
      <c r="I540" t="str">
        <f t="shared" si="8"/>
        <v>Stellifer micropsRockhead</v>
      </c>
    </row>
    <row r="541" spans="1:9" x14ac:dyDescent="0.35">
      <c r="A541">
        <v>15</v>
      </c>
      <c r="B541">
        <v>2016</v>
      </c>
      <c r="C541">
        <v>8</v>
      </c>
      <c r="D541" t="s">
        <v>173</v>
      </c>
      <c r="E541" t="s">
        <v>348</v>
      </c>
      <c r="F541" t="s">
        <v>21</v>
      </c>
      <c r="G541" t="s">
        <v>59</v>
      </c>
      <c r="H541" s="4">
        <v>15</v>
      </c>
      <c r="I541" t="str">
        <f t="shared" si="8"/>
        <v>Stellifer micropsRockhead</v>
      </c>
    </row>
    <row r="542" spans="1:9" x14ac:dyDescent="0.35">
      <c r="A542">
        <v>15</v>
      </c>
      <c r="B542">
        <v>2016</v>
      </c>
      <c r="C542">
        <v>8</v>
      </c>
      <c r="D542" t="s">
        <v>173</v>
      </c>
      <c r="E542" t="s">
        <v>348</v>
      </c>
      <c r="F542" t="s">
        <v>21</v>
      </c>
      <c r="G542" t="s">
        <v>59</v>
      </c>
      <c r="H542" s="4">
        <v>13</v>
      </c>
      <c r="I542" t="str">
        <f t="shared" si="8"/>
        <v>Stellifer micropsRockhead</v>
      </c>
    </row>
    <row r="543" spans="1:9" x14ac:dyDescent="0.35">
      <c r="A543">
        <v>15</v>
      </c>
      <c r="B543">
        <v>2016</v>
      </c>
      <c r="C543">
        <v>8</v>
      </c>
      <c r="D543" t="s">
        <v>173</v>
      </c>
      <c r="E543" t="s">
        <v>348</v>
      </c>
      <c r="F543" t="s">
        <v>21</v>
      </c>
      <c r="G543" t="s">
        <v>59</v>
      </c>
      <c r="H543" s="4">
        <v>11</v>
      </c>
      <c r="I543" t="str">
        <f t="shared" si="8"/>
        <v>Stellifer micropsRockhead</v>
      </c>
    </row>
    <row r="544" spans="1:9" x14ac:dyDescent="0.35">
      <c r="A544">
        <v>15</v>
      </c>
      <c r="B544">
        <v>2016</v>
      </c>
      <c r="C544">
        <v>8</v>
      </c>
      <c r="D544" t="s">
        <v>173</v>
      </c>
      <c r="E544" t="s">
        <v>348</v>
      </c>
      <c r="F544" t="s">
        <v>21</v>
      </c>
      <c r="G544" t="s">
        <v>59</v>
      </c>
      <c r="H544" s="4">
        <v>11</v>
      </c>
      <c r="I544" t="str">
        <f t="shared" si="8"/>
        <v>Stellifer micropsRockhead</v>
      </c>
    </row>
    <row r="545" spans="1:9" x14ac:dyDescent="0.35">
      <c r="A545">
        <v>15</v>
      </c>
      <c r="B545">
        <v>2016</v>
      </c>
      <c r="C545">
        <v>8</v>
      </c>
      <c r="D545" t="s">
        <v>173</v>
      </c>
      <c r="E545" t="s">
        <v>348</v>
      </c>
      <c r="F545" t="s">
        <v>21</v>
      </c>
      <c r="G545" t="s">
        <v>59</v>
      </c>
      <c r="H545" s="4">
        <v>10</v>
      </c>
      <c r="I545" t="str">
        <f t="shared" si="8"/>
        <v>Stellifer micropsRockhead</v>
      </c>
    </row>
    <row r="546" spans="1:9" x14ac:dyDescent="0.35">
      <c r="A546">
        <v>15</v>
      </c>
      <c r="B546">
        <v>2016</v>
      </c>
      <c r="C546">
        <v>8</v>
      </c>
      <c r="D546" t="s">
        <v>173</v>
      </c>
      <c r="E546" t="s">
        <v>348</v>
      </c>
      <c r="F546" t="s">
        <v>21</v>
      </c>
      <c r="G546" t="s">
        <v>59</v>
      </c>
      <c r="H546" s="4">
        <v>9</v>
      </c>
      <c r="I546" t="str">
        <f t="shared" si="8"/>
        <v>Stellifer micropsRockhead</v>
      </c>
    </row>
    <row r="547" spans="1:9" x14ac:dyDescent="0.35">
      <c r="A547">
        <v>15</v>
      </c>
      <c r="B547">
        <v>2016</v>
      </c>
      <c r="C547">
        <v>8</v>
      </c>
      <c r="D547" t="s">
        <v>173</v>
      </c>
      <c r="E547" t="s">
        <v>348</v>
      </c>
      <c r="F547" t="s">
        <v>21</v>
      </c>
      <c r="G547" t="s">
        <v>59</v>
      </c>
      <c r="H547" s="4">
        <v>11</v>
      </c>
      <c r="I547" t="str">
        <f t="shared" si="8"/>
        <v>Stellifer micropsRockhead</v>
      </c>
    </row>
    <row r="548" spans="1:9" x14ac:dyDescent="0.35">
      <c r="A548">
        <v>15</v>
      </c>
      <c r="B548">
        <v>2016</v>
      </c>
      <c r="C548">
        <v>8</v>
      </c>
      <c r="D548" t="s">
        <v>173</v>
      </c>
      <c r="E548" t="s">
        <v>348</v>
      </c>
      <c r="F548" t="s">
        <v>21</v>
      </c>
      <c r="G548" t="s">
        <v>59</v>
      </c>
      <c r="H548" s="4">
        <v>12</v>
      </c>
      <c r="I548" t="str">
        <f t="shared" si="8"/>
        <v>Stellifer micropsRockhead</v>
      </c>
    </row>
    <row r="549" spans="1:9" x14ac:dyDescent="0.35">
      <c r="A549">
        <v>15</v>
      </c>
      <c r="B549">
        <v>2016</v>
      </c>
      <c r="C549">
        <v>8</v>
      </c>
      <c r="D549" t="s">
        <v>173</v>
      </c>
      <c r="E549" t="s">
        <v>348</v>
      </c>
      <c r="F549" t="s">
        <v>21</v>
      </c>
      <c r="G549" t="s">
        <v>59</v>
      </c>
      <c r="H549" s="4">
        <v>10</v>
      </c>
      <c r="I549" t="str">
        <f t="shared" si="8"/>
        <v>Stellifer micropsRockhead</v>
      </c>
    </row>
    <row r="550" spans="1:9" x14ac:dyDescent="0.35">
      <c r="A550">
        <v>15</v>
      </c>
      <c r="B550">
        <v>2016</v>
      </c>
      <c r="C550">
        <v>8</v>
      </c>
      <c r="D550" t="s">
        <v>173</v>
      </c>
      <c r="E550" t="s">
        <v>348</v>
      </c>
      <c r="F550" t="s">
        <v>21</v>
      </c>
      <c r="G550" t="s">
        <v>59</v>
      </c>
      <c r="H550" s="4">
        <v>10</v>
      </c>
      <c r="I550" t="str">
        <f t="shared" si="8"/>
        <v>Stellifer micropsRockhead</v>
      </c>
    </row>
    <row r="551" spans="1:9" x14ac:dyDescent="0.35">
      <c r="A551">
        <v>15</v>
      </c>
      <c r="B551">
        <v>2016</v>
      </c>
      <c r="C551">
        <v>8</v>
      </c>
      <c r="D551" t="s">
        <v>173</v>
      </c>
      <c r="E551" t="s">
        <v>348</v>
      </c>
      <c r="F551" t="s">
        <v>21</v>
      </c>
      <c r="G551" t="s">
        <v>59</v>
      </c>
      <c r="H551" s="4">
        <v>11</v>
      </c>
      <c r="I551" t="str">
        <f t="shared" si="8"/>
        <v>Stellifer micropsRockhead</v>
      </c>
    </row>
    <row r="552" spans="1:9" x14ac:dyDescent="0.35">
      <c r="A552">
        <v>15</v>
      </c>
      <c r="B552">
        <v>2016</v>
      </c>
      <c r="C552">
        <v>8</v>
      </c>
      <c r="D552" t="s">
        <v>173</v>
      </c>
      <c r="E552" t="s">
        <v>348</v>
      </c>
      <c r="F552" t="s">
        <v>21</v>
      </c>
      <c r="G552" t="s">
        <v>59</v>
      </c>
      <c r="H552" s="4">
        <v>14</v>
      </c>
      <c r="I552" t="str">
        <f t="shared" si="8"/>
        <v>Stellifer micropsRockhead</v>
      </c>
    </row>
    <row r="553" spans="1:9" x14ac:dyDescent="0.35">
      <c r="A553">
        <v>15</v>
      </c>
      <c r="B553">
        <v>2016</v>
      </c>
      <c r="C553">
        <v>8</v>
      </c>
      <c r="D553" t="s">
        <v>173</v>
      </c>
      <c r="E553" t="s">
        <v>348</v>
      </c>
      <c r="F553" t="s">
        <v>21</v>
      </c>
      <c r="G553" t="s">
        <v>59</v>
      </c>
      <c r="H553" s="4">
        <v>9</v>
      </c>
      <c r="I553" t="str">
        <f t="shared" si="8"/>
        <v>Stellifer micropsRockhead</v>
      </c>
    </row>
    <row r="554" spans="1:9" x14ac:dyDescent="0.35">
      <c r="A554">
        <v>15</v>
      </c>
      <c r="B554">
        <v>2016</v>
      </c>
      <c r="C554">
        <v>8</v>
      </c>
      <c r="D554" t="s">
        <v>173</v>
      </c>
      <c r="E554" t="s">
        <v>348</v>
      </c>
      <c r="F554" t="s">
        <v>21</v>
      </c>
      <c r="G554" t="s">
        <v>59</v>
      </c>
      <c r="H554" s="4">
        <v>8</v>
      </c>
      <c r="I554" t="str">
        <f t="shared" si="8"/>
        <v>Stellifer micropsRockhead</v>
      </c>
    </row>
    <row r="555" spans="1:9" x14ac:dyDescent="0.35">
      <c r="A555">
        <v>15</v>
      </c>
      <c r="B555">
        <v>2016</v>
      </c>
      <c r="C555">
        <v>8</v>
      </c>
      <c r="D555" t="s">
        <v>173</v>
      </c>
      <c r="E555" t="s">
        <v>348</v>
      </c>
      <c r="F555" t="s">
        <v>21</v>
      </c>
      <c r="G555" t="s">
        <v>59</v>
      </c>
      <c r="H555" s="4">
        <v>10</v>
      </c>
      <c r="I555" t="str">
        <f t="shared" si="8"/>
        <v>Stellifer micropsRockhead</v>
      </c>
    </row>
    <row r="556" spans="1:9" x14ac:dyDescent="0.35">
      <c r="A556">
        <v>15</v>
      </c>
      <c r="B556">
        <v>2016</v>
      </c>
      <c r="C556">
        <v>8</v>
      </c>
      <c r="D556" t="s">
        <v>173</v>
      </c>
      <c r="E556" t="s">
        <v>348</v>
      </c>
      <c r="F556" t="s">
        <v>21</v>
      </c>
      <c r="G556" t="s">
        <v>59</v>
      </c>
      <c r="H556" s="4">
        <v>6</v>
      </c>
      <c r="I556" t="str">
        <f t="shared" si="8"/>
        <v>Stellifer micropsRockhead</v>
      </c>
    </row>
    <row r="557" spans="1:9" x14ac:dyDescent="0.35">
      <c r="A557">
        <v>15</v>
      </c>
      <c r="B557">
        <v>2016</v>
      </c>
      <c r="C557">
        <v>8</v>
      </c>
      <c r="D557" t="s">
        <v>173</v>
      </c>
      <c r="E557" t="s">
        <v>348</v>
      </c>
      <c r="F557" t="s">
        <v>21</v>
      </c>
      <c r="G557" t="s">
        <v>59</v>
      </c>
      <c r="H557" s="4">
        <v>9</v>
      </c>
      <c r="I557" t="str">
        <f t="shared" si="8"/>
        <v>Stellifer micropsRockhead</v>
      </c>
    </row>
    <row r="558" spans="1:9" x14ac:dyDescent="0.35">
      <c r="A558">
        <v>15</v>
      </c>
      <c r="B558">
        <v>2016</v>
      </c>
      <c r="C558">
        <v>8</v>
      </c>
      <c r="D558" t="s">
        <v>173</v>
      </c>
      <c r="E558" t="s">
        <v>348</v>
      </c>
      <c r="F558" t="s">
        <v>21</v>
      </c>
      <c r="G558" t="s">
        <v>59</v>
      </c>
      <c r="H558" s="4">
        <v>10</v>
      </c>
      <c r="I558" t="str">
        <f t="shared" si="8"/>
        <v>Stellifer micropsRockhead</v>
      </c>
    </row>
    <row r="559" spans="1:9" x14ac:dyDescent="0.35">
      <c r="A559">
        <v>15</v>
      </c>
      <c r="B559">
        <v>2016</v>
      </c>
      <c r="C559">
        <v>8</v>
      </c>
      <c r="D559" t="s">
        <v>173</v>
      </c>
      <c r="E559" t="s">
        <v>348</v>
      </c>
      <c r="F559" t="s">
        <v>21</v>
      </c>
      <c r="G559" t="s">
        <v>59</v>
      </c>
      <c r="H559" s="4">
        <v>9</v>
      </c>
      <c r="I559" t="str">
        <f t="shared" si="8"/>
        <v>Stellifer micropsRockhead</v>
      </c>
    </row>
    <row r="560" spans="1:9" x14ac:dyDescent="0.35">
      <c r="A560">
        <v>15</v>
      </c>
      <c r="B560">
        <v>2016</v>
      </c>
      <c r="C560">
        <v>8</v>
      </c>
      <c r="D560" t="s">
        <v>173</v>
      </c>
      <c r="E560" t="s">
        <v>348</v>
      </c>
      <c r="F560" t="s">
        <v>121</v>
      </c>
      <c r="G560" t="s">
        <v>44</v>
      </c>
      <c r="H560" s="4">
        <v>16</v>
      </c>
      <c r="I560" t="str">
        <f t="shared" si="8"/>
        <v>Anchoa mitchilliNegli</v>
      </c>
    </row>
    <row r="561" spans="1:9" x14ac:dyDescent="0.35">
      <c r="A561">
        <v>15</v>
      </c>
      <c r="B561">
        <v>2016</v>
      </c>
      <c r="C561">
        <v>8</v>
      </c>
      <c r="D561" t="s">
        <v>173</v>
      </c>
      <c r="E561" t="s">
        <v>348</v>
      </c>
      <c r="F561" t="s">
        <v>121</v>
      </c>
      <c r="G561" t="s">
        <v>44</v>
      </c>
      <c r="H561" s="4">
        <v>15</v>
      </c>
      <c r="I561" t="str">
        <f t="shared" si="8"/>
        <v>Anchoa mitchilliNegli</v>
      </c>
    </row>
    <row r="562" spans="1:9" x14ac:dyDescent="0.35">
      <c r="A562">
        <v>15</v>
      </c>
      <c r="B562">
        <v>2016</v>
      </c>
      <c r="C562">
        <v>8</v>
      </c>
      <c r="D562" t="s">
        <v>173</v>
      </c>
      <c r="E562" t="s">
        <v>348</v>
      </c>
      <c r="F562" t="s">
        <v>121</v>
      </c>
      <c r="G562" t="s">
        <v>44</v>
      </c>
      <c r="H562" s="4">
        <v>11</v>
      </c>
      <c r="I562" t="str">
        <f t="shared" si="8"/>
        <v>Anchoa mitchilliNegli</v>
      </c>
    </row>
    <row r="563" spans="1:9" x14ac:dyDescent="0.35">
      <c r="A563">
        <v>15</v>
      </c>
      <c r="B563">
        <v>2016</v>
      </c>
      <c r="C563">
        <v>8</v>
      </c>
      <c r="D563" t="s">
        <v>173</v>
      </c>
      <c r="E563" t="s">
        <v>348</v>
      </c>
      <c r="F563" t="s">
        <v>121</v>
      </c>
      <c r="G563" t="s">
        <v>44</v>
      </c>
      <c r="H563" s="4">
        <v>17</v>
      </c>
      <c r="I563" t="str">
        <f t="shared" si="8"/>
        <v>Anchoa mitchilliNegli</v>
      </c>
    </row>
    <row r="564" spans="1:9" x14ac:dyDescent="0.35">
      <c r="A564">
        <v>15</v>
      </c>
      <c r="B564">
        <v>2016</v>
      </c>
      <c r="C564">
        <v>8</v>
      </c>
      <c r="D564" t="s">
        <v>173</v>
      </c>
      <c r="E564" t="s">
        <v>348</v>
      </c>
      <c r="F564" t="s">
        <v>121</v>
      </c>
      <c r="G564" t="s">
        <v>44</v>
      </c>
      <c r="H564" s="4">
        <v>13</v>
      </c>
      <c r="I564" t="str">
        <f t="shared" si="8"/>
        <v>Anchoa mitchilliNegli</v>
      </c>
    </row>
    <row r="565" spans="1:9" x14ac:dyDescent="0.35">
      <c r="A565">
        <v>15</v>
      </c>
      <c r="B565">
        <v>2016</v>
      </c>
      <c r="C565">
        <v>8</v>
      </c>
      <c r="D565" t="s">
        <v>173</v>
      </c>
      <c r="E565" t="s">
        <v>348</v>
      </c>
      <c r="F565" t="s">
        <v>121</v>
      </c>
      <c r="G565" t="s">
        <v>44</v>
      </c>
      <c r="H565" s="4">
        <v>11</v>
      </c>
      <c r="I565" t="str">
        <f t="shared" si="8"/>
        <v>Anchoa mitchilliNegli</v>
      </c>
    </row>
    <row r="566" spans="1:9" x14ac:dyDescent="0.35">
      <c r="A566">
        <v>15</v>
      </c>
      <c r="B566">
        <v>2016</v>
      </c>
      <c r="C566">
        <v>8</v>
      </c>
      <c r="D566" t="s">
        <v>173</v>
      </c>
      <c r="E566" t="s">
        <v>348</v>
      </c>
      <c r="F566" t="s">
        <v>121</v>
      </c>
      <c r="G566" t="s">
        <v>44</v>
      </c>
      <c r="H566" s="4">
        <v>11</v>
      </c>
      <c r="I566" t="str">
        <f t="shared" si="8"/>
        <v>Anchoa mitchilliNegli</v>
      </c>
    </row>
    <row r="567" spans="1:9" x14ac:dyDescent="0.35">
      <c r="A567">
        <v>15</v>
      </c>
      <c r="B567">
        <v>2016</v>
      </c>
      <c r="C567">
        <v>8</v>
      </c>
      <c r="D567" t="s">
        <v>173</v>
      </c>
      <c r="E567" t="s">
        <v>348</v>
      </c>
      <c r="F567" t="s">
        <v>121</v>
      </c>
      <c r="G567" t="s">
        <v>44</v>
      </c>
      <c r="H567" s="4">
        <v>14</v>
      </c>
      <c r="I567" t="str">
        <f t="shared" si="8"/>
        <v>Anchoa mitchilliNegli</v>
      </c>
    </row>
    <row r="568" spans="1:9" x14ac:dyDescent="0.35">
      <c r="A568">
        <v>15</v>
      </c>
      <c r="B568">
        <v>2016</v>
      </c>
      <c r="C568">
        <v>8</v>
      </c>
      <c r="D568" t="s">
        <v>173</v>
      </c>
      <c r="E568" t="s">
        <v>348</v>
      </c>
      <c r="F568" t="s">
        <v>121</v>
      </c>
      <c r="G568" t="s">
        <v>44</v>
      </c>
      <c r="H568" s="4">
        <v>10</v>
      </c>
      <c r="I568" t="str">
        <f t="shared" si="8"/>
        <v>Anchoa mitchilliNegli</v>
      </c>
    </row>
    <row r="569" spans="1:9" x14ac:dyDescent="0.35">
      <c r="A569">
        <v>15</v>
      </c>
      <c r="B569">
        <v>2016</v>
      </c>
      <c r="C569">
        <v>8</v>
      </c>
      <c r="D569" t="s">
        <v>173</v>
      </c>
      <c r="E569" t="s">
        <v>348</v>
      </c>
      <c r="F569" t="s">
        <v>121</v>
      </c>
      <c r="G569" t="s">
        <v>44</v>
      </c>
      <c r="H569" s="4">
        <v>11</v>
      </c>
      <c r="I569" t="str">
        <f t="shared" si="8"/>
        <v>Anchoa mitchilliNegli</v>
      </c>
    </row>
    <row r="570" spans="1:9" x14ac:dyDescent="0.35">
      <c r="A570">
        <v>15</v>
      </c>
      <c r="B570">
        <v>2016</v>
      </c>
      <c r="C570">
        <v>8</v>
      </c>
      <c r="D570" t="s">
        <v>173</v>
      </c>
      <c r="E570" t="s">
        <v>348</v>
      </c>
      <c r="F570" t="s">
        <v>121</v>
      </c>
      <c r="G570" t="s">
        <v>44</v>
      </c>
      <c r="H570" s="4">
        <v>12</v>
      </c>
      <c r="I570" t="str">
        <f t="shared" si="8"/>
        <v>Anchoa mitchilliNegli</v>
      </c>
    </row>
    <row r="571" spans="1:9" x14ac:dyDescent="0.35">
      <c r="A571">
        <v>15</v>
      </c>
      <c r="B571">
        <v>2016</v>
      </c>
      <c r="C571">
        <v>8</v>
      </c>
      <c r="D571" t="s">
        <v>173</v>
      </c>
      <c r="E571" t="s">
        <v>348</v>
      </c>
      <c r="F571" t="s">
        <v>121</v>
      </c>
      <c r="G571" t="s">
        <v>44</v>
      </c>
      <c r="H571" s="4">
        <v>13</v>
      </c>
      <c r="I571" t="str">
        <f t="shared" si="8"/>
        <v>Anchoa mitchilliNegli</v>
      </c>
    </row>
    <row r="572" spans="1:9" x14ac:dyDescent="0.35">
      <c r="A572">
        <v>15</v>
      </c>
      <c r="B572">
        <v>2016</v>
      </c>
      <c r="C572">
        <v>8</v>
      </c>
      <c r="D572" t="s">
        <v>173</v>
      </c>
      <c r="E572" t="s">
        <v>348</v>
      </c>
      <c r="F572" t="s">
        <v>121</v>
      </c>
      <c r="G572" t="s">
        <v>44</v>
      </c>
      <c r="H572" s="4">
        <v>11</v>
      </c>
      <c r="I572" t="str">
        <f t="shared" si="8"/>
        <v>Anchoa mitchilliNegli</v>
      </c>
    </row>
    <row r="573" spans="1:9" x14ac:dyDescent="0.35">
      <c r="A573">
        <v>15</v>
      </c>
      <c r="B573">
        <v>2016</v>
      </c>
      <c r="C573">
        <v>8</v>
      </c>
      <c r="D573" t="s">
        <v>173</v>
      </c>
      <c r="E573" t="s">
        <v>348</v>
      </c>
      <c r="F573" t="s">
        <v>121</v>
      </c>
      <c r="G573" t="s">
        <v>44</v>
      </c>
      <c r="H573" s="4">
        <v>11</v>
      </c>
      <c r="I573" t="str">
        <f t="shared" si="8"/>
        <v>Anchoa mitchilliNegli</v>
      </c>
    </row>
    <row r="574" spans="1:9" x14ac:dyDescent="0.35">
      <c r="A574">
        <v>15</v>
      </c>
      <c r="B574">
        <v>2016</v>
      </c>
      <c r="C574">
        <v>8</v>
      </c>
      <c r="D574" t="s">
        <v>173</v>
      </c>
      <c r="E574" t="s">
        <v>348</v>
      </c>
      <c r="F574" t="s">
        <v>121</v>
      </c>
      <c r="G574" t="s">
        <v>44</v>
      </c>
      <c r="H574" s="4">
        <v>12</v>
      </c>
      <c r="I574" t="str">
        <f t="shared" si="8"/>
        <v>Anchoa mitchilliNegli</v>
      </c>
    </row>
    <row r="575" spans="1:9" x14ac:dyDescent="0.35">
      <c r="A575">
        <v>15</v>
      </c>
      <c r="B575">
        <v>2016</v>
      </c>
      <c r="C575">
        <v>8</v>
      </c>
      <c r="D575" t="s">
        <v>173</v>
      </c>
      <c r="E575" t="s">
        <v>348</v>
      </c>
      <c r="F575" t="s">
        <v>121</v>
      </c>
      <c r="G575" t="s">
        <v>44</v>
      </c>
      <c r="H575" s="4">
        <v>12</v>
      </c>
      <c r="I575" t="str">
        <f t="shared" si="8"/>
        <v>Anchoa mitchilliNegli</v>
      </c>
    </row>
    <row r="576" spans="1:9" x14ac:dyDescent="0.35">
      <c r="A576">
        <v>15</v>
      </c>
      <c r="B576">
        <v>2016</v>
      </c>
      <c r="C576">
        <v>8</v>
      </c>
      <c r="D576" t="s">
        <v>173</v>
      </c>
      <c r="E576" t="s">
        <v>348</v>
      </c>
      <c r="F576" t="s">
        <v>121</v>
      </c>
      <c r="G576" t="s">
        <v>44</v>
      </c>
      <c r="H576" s="4">
        <v>16</v>
      </c>
      <c r="I576" t="str">
        <f t="shared" si="8"/>
        <v>Anchoa mitchilliNegli</v>
      </c>
    </row>
    <row r="577" spans="1:9" x14ac:dyDescent="0.35">
      <c r="A577">
        <v>15</v>
      </c>
      <c r="B577">
        <v>2016</v>
      </c>
      <c r="C577">
        <v>8</v>
      </c>
      <c r="D577" t="s">
        <v>173</v>
      </c>
      <c r="E577" t="s">
        <v>348</v>
      </c>
      <c r="F577" t="s">
        <v>121</v>
      </c>
      <c r="G577" t="s">
        <v>44</v>
      </c>
      <c r="H577" s="4">
        <v>11</v>
      </c>
      <c r="I577" t="str">
        <f t="shared" si="8"/>
        <v>Anchoa mitchilliNegli</v>
      </c>
    </row>
    <row r="578" spans="1:9" x14ac:dyDescent="0.35">
      <c r="A578">
        <v>15</v>
      </c>
      <c r="B578">
        <v>2016</v>
      </c>
      <c r="C578">
        <v>8</v>
      </c>
      <c r="D578" t="s">
        <v>173</v>
      </c>
      <c r="E578" t="s">
        <v>348</v>
      </c>
      <c r="F578" t="s">
        <v>121</v>
      </c>
      <c r="G578" t="s">
        <v>44</v>
      </c>
      <c r="H578" s="4">
        <v>14</v>
      </c>
      <c r="I578" t="str">
        <f t="shared" ref="I578:I641" si="9">CONCATENATE(F578,G578)</f>
        <v>Anchoa mitchilliNegli</v>
      </c>
    </row>
    <row r="579" spans="1:9" x14ac:dyDescent="0.35">
      <c r="A579">
        <v>15</v>
      </c>
      <c r="B579">
        <v>2016</v>
      </c>
      <c r="C579">
        <v>8</v>
      </c>
      <c r="D579" t="s">
        <v>173</v>
      </c>
      <c r="E579" t="s">
        <v>348</v>
      </c>
      <c r="F579" t="s">
        <v>121</v>
      </c>
      <c r="G579" t="s">
        <v>44</v>
      </c>
      <c r="H579" s="4">
        <v>13</v>
      </c>
      <c r="I579" t="str">
        <f t="shared" si="9"/>
        <v>Anchoa mitchilliNegli</v>
      </c>
    </row>
    <row r="580" spans="1:9" x14ac:dyDescent="0.35">
      <c r="A580">
        <v>15</v>
      </c>
      <c r="B580">
        <v>2016</v>
      </c>
      <c r="C580">
        <v>8</v>
      </c>
      <c r="D580" t="s">
        <v>173</v>
      </c>
      <c r="E580" t="s">
        <v>348</v>
      </c>
      <c r="F580" t="s">
        <v>121</v>
      </c>
      <c r="G580" t="s">
        <v>44</v>
      </c>
      <c r="H580" s="4">
        <v>11</v>
      </c>
      <c r="I580" t="str">
        <f t="shared" si="9"/>
        <v>Anchoa mitchilliNegli</v>
      </c>
    </row>
    <row r="581" spans="1:9" x14ac:dyDescent="0.35">
      <c r="A581">
        <v>15</v>
      </c>
      <c r="B581">
        <v>2016</v>
      </c>
      <c r="C581">
        <v>8</v>
      </c>
      <c r="D581" t="s">
        <v>173</v>
      </c>
      <c r="E581" t="s">
        <v>348</v>
      </c>
      <c r="F581" t="s">
        <v>121</v>
      </c>
      <c r="G581" t="s">
        <v>44</v>
      </c>
      <c r="H581" s="4">
        <v>10</v>
      </c>
      <c r="I581" t="str">
        <f t="shared" si="9"/>
        <v>Anchoa mitchilliNegli</v>
      </c>
    </row>
    <row r="582" spans="1:9" x14ac:dyDescent="0.35">
      <c r="A582">
        <v>15</v>
      </c>
      <c r="B582">
        <v>2016</v>
      </c>
      <c r="C582">
        <v>8</v>
      </c>
      <c r="D582" t="s">
        <v>173</v>
      </c>
      <c r="E582" t="s">
        <v>348</v>
      </c>
      <c r="F582" t="s">
        <v>121</v>
      </c>
      <c r="G582" t="s">
        <v>44</v>
      </c>
      <c r="H582" s="4">
        <v>10</v>
      </c>
      <c r="I582" t="str">
        <f t="shared" si="9"/>
        <v>Anchoa mitchilliNegli</v>
      </c>
    </row>
    <row r="583" spans="1:9" x14ac:dyDescent="0.35">
      <c r="A583">
        <v>15</v>
      </c>
      <c r="B583">
        <v>2016</v>
      </c>
      <c r="C583">
        <v>8</v>
      </c>
      <c r="D583" t="s">
        <v>173</v>
      </c>
      <c r="E583" t="s">
        <v>348</v>
      </c>
      <c r="F583" t="s">
        <v>121</v>
      </c>
      <c r="G583" t="s">
        <v>44</v>
      </c>
      <c r="H583" s="4">
        <v>12</v>
      </c>
      <c r="I583" t="str">
        <f t="shared" si="9"/>
        <v>Anchoa mitchilliNegli</v>
      </c>
    </row>
    <row r="584" spans="1:9" x14ac:dyDescent="0.35">
      <c r="A584">
        <v>15</v>
      </c>
      <c r="B584">
        <v>2016</v>
      </c>
      <c r="C584">
        <v>8</v>
      </c>
      <c r="D584" t="s">
        <v>173</v>
      </c>
      <c r="E584" t="s">
        <v>348</v>
      </c>
      <c r="F584" t="s">
        <v>121</v>
      </c>
      <c r="G584" t="s">
        <v>44</v>
      </c>
      <c r="H584" s="4">
        <v>12</v>
      </c>
      <c r="I584" t="str">
        <f t="shared" si="9"/>
        <v>Anchoa mitchilliNegli</v>
      </c>
    </row>
    <row r="585" spans="1:9" x14ac:dyDescent="0.35">
      <c r="A585">
        <v>15</v>
      </c>
      <c r="B585">
        <v>2016</v>
      </c>
      <c r="C585">
        <v>8</v>
      </c>
      <c r="D585" t="s">
        <v>173</v>
      </c>
      <c r="E585" t="s">
        <v>348</v>
      </c>
      <c r="F585" t="s">
        <v>121</v>
      </c>
      <c r="G585" t="s">
        <v>44</v>
      </c>
      <c r="H585" s="4">
        <v>15</v>
      </c>
      <c r="I585" t="str">
        <f t="shared" si="9"/>
        <v>Anchoa mitchilliNegli</v>
      </c>
    </row>
    <row r="586" spans="1:9" x14ac:dyDescent="0.35">
      <c r="A586">
        <v>15</v>
      </c>
      <c r="B586">
        <v>2016</v>
      </c>
      <c r="C586">
        <v>8</v>
      </c>
      <c r="D586" t="s">
        <v>173</v>
      </c>
      <c r="E586" t="s">
        <v>348</v>
      </c>
      <c r="F586" t="s">
        <v>121</v>
      </c>
      <c r="G586" t="s">
        <v>44</v>
      </c>
      <c r="H586" s="4">
        <v>12</v>
      </c>
      <c r="I586" t="str">
        <f t="shared" si="9"/>
        <v>Anchoa mitchilliNegli</v>
      </c>
    </row>
    <row r="587" spans="1:9" x14ac:dyDescent="0.35">
      <c r="A587">
        <v>15</v>
      </c>
      <c r="B587">
        <v>2016</v>
      </c>
      <c r="C587">
        <v>8</v>
      </c>
      <c r="D587" t="s">
        <v>173</v>
      </c>
      <c r="E587" t="s">
        <v>348</v>
      </c>
      <c r="F587" t="s">
        <v>121</v>
      </c>
      <c r="G587" t="s">
        <v>44</v>
      </c>
      <c r="H587" s="4">
        <v>11</v>
      </c>
      <c r="I587" t="str">
        <f t="shared" si="9"/>
        <v>Anchoa mitchilliNegli</v>
      </c>
    </row>
    <row r="588" spans="1:9" x14ac:dyDescent="0.35">
      <c r="A588">
        <v>15</v>
      </c>
      <c r="B588">
        <v>2016</v>
      </c>
      <c r="C588">
        <v>8</v>
      </c>
      <c r="D588" t="s">
        <v>173</v>
      </c>
      <c r="E588" t="s">
        <v>348</v>
      </c>
      <c r="F588" t="s">
        <v>121</v>
      </c>
      <c r="G588" t="s">
        <v>44</v>
      </c>
      <c r="H588" s="4">
        <v>11</v>
      </c>
      <c r="I588" t="str">
        <f t="shared" si="9"/>
        <v>Anchoa mitchilliNegli</v>
      </c>
    </row>
    <row r="589" spans="1:9" x14ac:dyDescent="0.35">
      <c r="A589">
        <v>15</v>
      </c>
      <c r="B589">
        <v>2016</v>
      </c>
      <c r="C589">
        <v>8</v>
      </c>
      <c r="D589" t="s">
        <v>173</v>
      </c>
      <c r="E589" t="s">
        <v>348</v>
      </c>
      <c r="F589" t="s">
        <v>121</v>
      </c>
      <c r="G589" t="s">
        <v>44</v>
      </c>
      <c r="H589" s="4">
        <v>10</v>
      </c>
      <c r="I589" t="str">
        <f t="shared" si="9"/>
        <v>Anchoa mitchilliNegli</v>
      </c>
    </row>
    <row r="590" spans="1:9" x14ac:dyDescent="0.35">
      <c r="A590">
        <v>15</v>
      </c>
      <c r="B590">
        <v>2016</v>
      </c>
      <c r="C590">
        <v>8</v>
      </c>
      <c r="D590" t="s">
        <v>173</v>
      </c>
      <c r="E590" t="s">
        <v>348</v>
      </c>
      <c r="F590" t="s">
        <v>116</v>
      </c>
      <c r="G590" t="s">
        <v>115</v>
      </c>
      <c r="H590" s="4">
        <v>14</v>
      </c>
      <c r="I590" t="str">
        <f t="shared" si="9"/>
        <v>Anchoa spiniferSpecule Anchovy</v>
      </c>
    </row>
    <row r="591" spans="1:9" x14ac:dyDescent="0.35">
      <c r="A591">
        <v>15</v>
      </c>
      <c r="B591">
        <v>2016</v>
      </c>
      <c r="C591">
        <v>8</v>
      </c>
      <c r="D591" t="s">
        <v>173</v>
      </c>
      <c r="E591" t="s">
        <v>348</v>
      </c>
      <c r="F591" t="s">
        <v>116</v>
      </c>
      <c r="G591" t="s">
        <v>115</v>
      </c>
      <c r="H591" s="4">
        <v>17</v>
      </c>
      <c r="I591" t="str">
        <f t="shared" si="9"/>
        <v>Anchoa spiniferSpecule Anchovy</v>
      </c>
    </row>
    <row r="592" spans="1:9" x14ac:dyDescent="0.35">
      <c r="A592">
        <v>15</v>
      </c>
      <c r="B592">
        <v>2016</v>
      </c>
      <c r="C592">
        <v>8</v>
      </c>
      <c r="D592" t="s">
        <v>173</v>
      </c>
      <c r="E592" t="s">
        <v>348</v>
      </c>
      <c r="F592" t="s">
        <v>116</v>
      </c>
      <c r="G592" t="s">
        <v>115</v>
      </c>
      <c r="H592" s="4">
        <v>13</v>
      </c>
      <c r="I592" t="str">
        <f t="shared" si="9"/>
        <v>Anchoa spiniferSpecule Anchovy</v>
      </c>
    </row>
    <row r="593" spans="1:9" x14ac:dyDescent="0.35">
      <c r="A593">
        <v>15</v>
      </c>
      <c r="B593">
        <v>2016</v>
      </c>
      <c r="C593">
        <v>8</v>
      </c>
      <c r="D593" t="s">
        <v>173</v>
      </c>
      <c r="E593" t="s">
        <v>348</v>
      </c>
      <c r="F593" t="s">
        <v>116</v>
      </c>
      <c r="G593" t="s">
        <v>115</v>
      </c>
      <c r="H593" s="4">
        <v>12</v>
      </c>
      <c r="I593" t="str">
        <f t="shared" si="9"/>
        <v>Anchoa spiniferSpecule Anchovy</v>
      </c>
    </row>
    <row r="594" spans="1:9" x14ac:dyDescent="0.35">
      <c r="A594">
        <v>15</v>
      </c>
      <c r="B594">
        <v>2016</v>
      </c>
      <c r="C594">
        <v>8</v>
      </c>
      <c r="D594" t="s">
        <v>173</v>
      </c>
      <c r="E594" t="s">
        <v>348</v>
      </c>
      <c r="F594" t="s">
        <v>116</v>
      </c>
      <c r="G594" t="s">
        <v>115</v>
      </c>
      <c r="H594" s="4">
        <v>11</v>
      </c>
      <c r="I594" t="str">
        <f t="shared" si="9"/>
        <v>Anchoa spiniferSpecule Anchovy</v>
      </c>
    </row>
    <row r="595" spans="1:9" x14ac:dyDescent="0.35">
      <c r="A595">
        <v>15</v>
      </c>
      <c r="B595">
        <v>2016</v>
      </c>
      <c r="C595">
        <v>8</v>
      </c>
      <c r="D595" t="s">
        <v>173</v>
      </c>
      <c r="E595" t="s">
        <v>348</v>
      </c>
      <c r="F595" t="s">
        <v>116</v>
      </c>
      <c r="G595" t="s">
        <v>115</v>
      </c>
      <c r="H595" s="4">
        <v>10</v>
      </c>
      <c r="I595" t="str">
        <f t="shared" si="9"/>
        <v>Anchoa spiniferSpecule Anchovy</v>
      </c>
    </row>
    <row r="596" spans="1:9" x14ac:dyDescent="0.35">
      <c r="A596">
        <v>15</v>
      </c>
      <c r="B596">
        <v>2016</v>
      </c>
      <c r="C596">
        <v>8</v>
      </c>
      <c r="D596" t="s">
        <v>173</v>
      </c>
      <c r="E596" t="s">
        <v>348</v>
      </c>
      <c r="F596" t="s">
        <v>116</v>
      </c>
      <c r="G596" t="s">
        <v>115</v>
      </c>
      <c r="H596" s="4">
        <v>11</v>
      </c>
      <c r="I596" t="str">
        <f t="shared" si="9"/>
        <v>Anchoa spiniferSpecule Anchovy</v>
      </c>
    </row>
    <row r="597" spans="1:9" x14ac:dyDescent="0.35">
      <c r="A597">
        <v>15</v>
      </c>
      <c r="B597">
        <v>2016</v>
      </c>
      <c r="C597">
        <v>8</v>
      </c>
      <c r="D597" t="s">
        <v>173</v>
      </c>
      <c r="E597" t="s">
        <v>348</v>
      </c>
      <c r="F597" t="s">
        <v>116</v>
      </c>
      <c r="G597" t="s">
        <v>115</v>
      </c>
      <c r="H597" s="4">
        <v>12</v>
      </c>
      <c r="I597" t="str">
        <f t="shared" si="9"/>
        <v>Anchoa spiniferSpecule Anchovy</v>
      </c>
    </row>
    <row r="598" spans="1:9" x14ac:dyDescent="0.35">
      <c r="A598">
        <v>15</v>
      </c>
      <c r="B598">
        <v>2016</v>
      </c>
      <c r="C598">
        <v>8</v>
      </c>
      <c r="D598" t="s">
        <v>173</v>
      </c>
      <c r="E598" t="s">
        <v>348</v>
      </c>
      <c r="F598" t="s">
        <v>116</v>
      </c>
      <c r="G598" t="s">
        <v>115</v>
      </c>
      <c r="H598" s="4">
        <v>14</v>
      </c>
      <c r="I598" t="str">
        <f t="shared" si="9"/>
        <v>Anchoa spiniferSpecule Anchovy</v>
      </c>
    </row>
    <row r="599" spans="1:9" x14ac:dyDescent="0.35">
      <c r="A599">
        <v>15</v>
      </c>
      <c r="B599">
        <v>2016</v>
      </c>
      <c r="C599">
        <v>8</v>
      </c>
      <c r="D599" t="s">
        <v>173</v>
      </c>
      <c r="E599" t="s">
        <v>348</v>
      </c>
      <c r="F599" t="s">
        <v>116</v>
      </c>
      <c r="G599" t="s">
        <v>115</v>
      </c>
      <c r="H599" s="4">
        <v>12</v>
      </c>
      <c r="I599" t="str">
        <f t="shared" si="9"/>
        <v>Anchoa spiniferSpecule Anchovy</v>
      </c>
    </row>
    <row r="600" spans="1:9" x14ac:dyDescent="0.35">
      <c r="A600">
        <v>15</v>
      </c>
      <c r="B600">
        <v>2016</v>
      </c>
      <c r="C600">
        <v>8</v>
      </c>
      <c r="D600" t="s">
        <v>173</v>
      </c>
      <c r="E600" t="s">
        <v>348</v>
      </c>
      <c r="F600" t="s">
        <v>116</v>
      </c>
      <c r="G600" t="s">
        <v>115</v>
      </c>
      <c r="H600" s="4">
        <v>16</v>
      </c>
      <c r="I600" t="str">
        <f t="shared" si="9"/>
        <v>Anchoa spiniferSpecule Anchovy</v>
      </c>
    </row>
    <row r="601" spans="1:9" x14ac:dyDescent="0.35">
      <c r="A601">
        <v>15</v>
      </c>
      <c r="B601">
        <v>2016</v>
      </c>
      <c r="C601">
        <v>8</v>
      </c>
      <c r="D601" t="s">
        <v>173</v>
      </c>
      <c r="E601" t="s">
        <v>348</v>
      </c>
      <c r="F601" t="s">
        <v>116</v>
      </c>
      <c r="G601" t="s">
        <v>115</v>
      </c>
      <c r="H601" s="4">
        <v>10</v>
      </c>
      <c r="I601" t="str">
        <f t="shared" si="9"/>
        <v>Anchoa spiniferSpecule Anchovy</v>
      </c>
    </row>
    <row r="602" spans="1:9" x14ac:dyDescent="0.35">
      <c r="A602">
        <v>15</v>
      </c>
      <c r="B602">
        <v>2016</v>
      </c>
      <c r="C602">
        <v>8</v>
      </c>
      <c r="D602" t="s">
        <v>173</v>
      </c>
      <c r="E602" t="s">
        <v>348</v>
      </c>
      <c r="F602" t="s">
        <v>116</v>
      </c>
      <c r="G602" t="s">
        <v>115</v>
      </c>
      <c r="H602" s="4">
        <v>9</v>
      </c>
      <c r="I602" t="str">
        <f t="shared" si="9"/>
        <v>Anchoa spiniferSpecule Anchovy</v>
      </c>
    </row>
    <row r="603" spans="1:9" x14ac:dyDescent="0.35">
      <c r="A603">
        <v>15</v>
      </c>
      <c r="B603">
        <v>2016</v>
      </c>
      <c r="C603">
        <v>8</v>
      </c>
      <c r="D603" t="s">
        <v>173</v>
      </c>
      <c r="E603" t="s">
        <v>348</v>
      </c>
      <c r="F603" t="s">
        <v>116</v>
      </c>
      <c r="G603" t="s">
        <v>115</v>
      </c>
      <c r="H603" s="4">
        <v>11</v>
      </c>
      <c r="I603" t="str">
        <f t="shared" si="9"/>
        <v>Anchoa spiniferSpecule Anchovy</v>
      </c>
    </row>
    <row r="604" spans="1:9" x14ac:dyDescent="0.35">
      <c r="A604">
        <v>15</v>
      </c>
      <c r="B604">
        <v>2016</v>
      </c>
      <c r="C604">
        <v>8</v>
      </c>
      <c r="D604" t="s">
        <v>173</v>
      </c>
      <c r="E604" t="s">
        <v>348</v>
      </c>
      <c r="F604" t="s">
        <v>116</v>
      </c>
      <c r="G604" t="s">
        <v>115</v>
      </c>
      <c r="H604" s="4">
        <v>11</v>
      </c>
      <c r="I604" t="str">
        <f t="shared" si="9"/>
        <v>Anchoa spiniferSpecule Anchovy</v>
      </c>
    </row>
    <row r="605" spans="1:9" x14ac:dyDescent="0.35">
      <c r="A605">
        <v>15</v>
      </c>
      <c r="B605">
        <v>2016</v>
      </c>
      <c r="C605">
        <v>8</v>
      </c>
      <c r="D605" t="s">
        <v>173</v>
      </c>
      <c r="E605" t="s">
        <v>348</v>
      </c>
      <c r="F605" t="s">
        <v>116</v>
      </c>
      <c r="G605" t="s">
        <v>115</v>
      </c>
      <c r="H605" s="4">
        <v>11</v>
      </c>
      <c r="I605" t="str">
        <f t="shared" si="9"/>
        <v>Anchoa spiniferSpecule Anchovy</v>
      </c>
    </row>
    <row r="606" spans="1:9" x14ac:dyDescent="0.35">
      <c r="A606">
        <v>15</v>
      </c>
      <c r="B606">
        <v>2016</v>
      </c>
      <c r="C606">
        <v>8</v>
      </c>
      <c r="D606" t="s">
        <v>173</v>
      </c>
      <c r="E606" t="s">
        <v>348</v>
      </c>
      <c r="F606" t="s">
        <v>116</v>
      </c>
      <c r="G606" t="s">
        <v>115</v>
      </c>
      <c r="H606" s="4">
        <v>10</v>
      </c>
      <c r="I606" t="str">
        <f t="shared" si="9"/>
        <v>Anchoa spiniferSpecule Anchovy</v>
      </c>
    </row>
    <row r="607" spans="1:9" x14ac:dyDescent="0.35">
      <c r="A607">
        <v>15</v>
      </c>
      <c r="B607">
        <v>2016</v>
      </c>
      <c r="C607">
        <v>8</v>
      </c>
      <c r="D607" t="s">
        <v>173</v>
      </c>
      <c r="E607" t="s">
        <v>348</v>
      </c>
      <c r="F607" t="s">
        <v>116</v>
      </c>
      <c r="G607" t="s">
        <v>115</v>
      </c>
      <c r="H607" s="4">
        <v>9</v>
      </c>
      <c r="I607" t="str">
        <f t="shared" si="9"/>
        <v>Anchoa spiniferSpecule Anchovy</v>
      </c>
    </row>
    <row r="608" spans="1:9" x14ac:dyDescent="0.35">
      <c r="A608">
        <v>15</v>
      </c>
      <c r="B608">
        <v>2016</v>
      </c>
      <c r="C608">
        <v>8</v>
      </c>
      <c r="D608" t="s">
        <v>173</v>
      </c>
      <c r="E608" t="s">
        <v>348</v>
      </c>
      <c r="F608" t="s">
        <v>116</v>
      </c>
      <c r="G608" t="s">
        <v>115</v>
      </c>
      <c r="H608" s="4">
        <v>10</v>
      </c>
      <c r="I608" t="str">
        <f t="shared" si="9"/>
        <v>Anchoa spiniferSpecule Anchovy</v>
      </c>
    </row>
    <row r="609" spans="1:9" x14ac:dyDescent="0.35">
      <c r="A609">
        <v>15</v>
      </c>
      <c r="B609">
        <v>2016</v>
      </c>
      <c r="C609">
        <v>8</v>
      </c>
      <c r="D609" t="s">
        <v>173</v>
      </c>
      <c r="E609" t="s">
        <v>348</v>
      </c>
      <c r="F609" t="s">
        <v>116</v>
      </c>
      <c r="G609" t="s">
        <v>115</v>
      </c>
      <c r="H609" s="4">
        <v>10</v>
      </c>
      <c r="I609" t="str">
        <f t="shared" si="9"/>
        <v>Anchoa spiniferSpecule Anchovy</v>
      </c>
    </row>
    <row r="610" spans="1:9" x14ac:dyDescent="0.35">
      <c r="A610">
        <v>15</v>
      </c>
      <c r="B610">
        <v>2016</v>
      </c>
      <c r="C610">
        <v>8</v>
      </c>
      <c r="D610" t="s">
        <v>173</v>
      </c>
      <c r="E610" t="s">
        <v>348</v>
      </c>
      <c r="F610" t="s">
        <v>116</v>
      </c>
      <c r="G610" t="s">
        <v>115</v>
      </c>
      <c r="H610" s="4">
        <v>11</v>
      </c>
      <c r="I610" t="str">
        <f t="shared" si="9"/>
        <v>Anchoa spiniferSpecule Anchovy</v>
      </c>
    </row>
    <row r="611" spans="1:9" x14ac:dyDescent="0.35">
      <c r="A611">
        <v>15</v>
      </c>
      <c r="B611">
        <v>2016</v>
      </c>
      <c r="C611">
        <v>8</v>
      </c>
      <c r="D611" t="s">
        <v>173</v>
      </c>
      <c r="E611" t="s">
        <v>348</v>
      </c>
      <c r="F611" t="s">
        <v>116</v>
      </c>
      <c r="G611" t="s">
        <v>115</v>
      </c>
      <c r="H611" s="4">
        <v>13</v>
      </c>
      <c r="I611" t="str">
        <f t="shared" si="9"/>
        <v>Anchoa spiniferSpecule Anchovy</v>
      </c>
    </row>
    <row r="612" spans="1:9" x14ac:dyDescent="0.35">
      <c r="A612">
        <v>15</v>
      </c>
      <c r="B612">
        <v>2016</v>
      </c>
      <c r="C612">
        <v>8</v>
      </c>
      <c r="D612" t="s">
        <v>173</v>
      </c>
      <c r="E612" t="s">
        <v>348</v>
      </c>
      <c r="F612" t="s">
        <v>116</v>
      </c>
      <c r="G612" t="s">
        <v>115</v>
      </c>
      <c r="H612" s="4">
        <v>10</v>
      </c>
      <c r="I612" t="str">
        <f t="shared" si="9"/>
        <v>Anchoa spiniferSpecule Anchovy</v>
      </c>
    </row>
    <row r="613" spans="1:9" x14ac:dyDescent="0.35">
      <c r="A613">
        <v>15</v>
      </c>
      <c r="B613">
        <v>2016</v>
      </c>
      <c r="C613">
        <v>8</v>
      </c>
      <c r="D613" t="s">
        <v>173</v>
      </c>
      <c r="E613" t="s">
        <v>348</v>
      </c>
      <c r="F613" t="s">
        <v>116</v>
      </c>
      <c r="G613" t="s">
        <v>115</v>
      </c>
      <c r="H613" s="4">
        <v>10</v>
      </c>
      <c r="I613" t="str">
        <f t="shared" si="9"/>
        <v>Anchoa spiniferSpecule Anchovy</v>
      </c>
    </row>
    <row r="614" spans="1:9" x14ac:dyDescent="0.35">
      <c r="A614">
        <v>15</v>
      </c>
      <c r="B614">
        <v>2016</v>
      </c>
      <c r="C614">
        <v>8</v>
      </c>
      <c r="D614" t="s">
        <v>173</v>
      </c>
      <c r="E614" t="s">
        <v>348</v>
      </c>
      <c r="F614" t="s">
        <v>116</v>
      </c>
      <c r="G614" t="s">
        <v>115</v>
      </c>
      <c r="H614" s="4">
        <v>12</v>
      </c>
      <c r="I614" t="str">
        <f t="shared" si="9"/>
        <v>Anchoa spiniferSpecule Anchovy</v>
      </c>
    </row>
    <row r="615" spans="1:9" x14ac:dyDescent="0.35">
      <c r="A615">
        <v>15</v>
      </c>
      <c r="B615">
        <v>2016</v>
      </c>
      <c r="C615">
        <v>8</v>
      </c>
      <c r="D615" t="s">
        <v>173</v>
      </c>
      <c r="E615" t="s">
        <v>348</v>
      </c>
      <c r="F615" t="s">
        <v>116</v>
      </c>
      <c r="G615" t="s">
        <v>115</v>
      </c>
      <c r="H615" s="4">
        <v>9</v>
      </c>
      <c r="I615" t="str">
        <f t="shared" si="9"/>
        <v>Anchoa spiniferSpecule Anchovy</v>
      </c>
    </row>
    <row r="616" spans="1:9" x14ac:dyDescent="0.35">
      <c r="A616">
        <v>15</v>
      </c>
      <c r="B616">
        <v>2016</v>
      </c>
      <c r="C616">
        <v>8</v>
      </c>
      <c r="D616" t="s">
        <v>173</v>
      </c>
      <c r="E616" t="s">
        <v>348</v>
      </c>
      <c r="F616" t="s">
        <v>116</v>
      </c>
      <c r="G616" t="s">
        <v>115</v>
      </c>
      <c r="H616" s="4">
        <v>13</v>
      </c>
      <c r="I616" t="str">
        <f t="shared" si="9"/>
        <v>Anchoa spiniferSpecule Anchovy</v>
      </c>
    </row>
    <row r="617" spans="1:9" x14ac:dyDescent="0.35">
      <c r="A617">
        <v>15</v>
      </c>
      <c r="B617">
        <v>2016</v>
      </c>
      <c r="C617">
        <v>8</v>
      </c>
      <c r="D617" t="s">
        <v>173</v>
      </c>
      <c r="E617" t="s">
        <v>348</v>
      </c>
      <c r="F617" t="s">
        <v>116</v>
      </c>
      <c r="G617" t="s">
        <v>115</v>
      </c>
      <c r="H617" s="4">
        <v>10</v>
      </c>
      <c r="I617" t="str">
        <f t="shared" si="9"/>
        <v>Anchoa spiniferSpecule Anchovy</v>
      </c>
    </row>
    <row r="618" spans="1:9" x14ac:dyDescent="0.35">
      <c r="A618">
        <v>15</v>
      </c>
      <c r="B618">
        <v>2016</v>
      </c>
      <c r="C618">
        <v>8</v>
      </c>
      <c r="D618" t="s">
        <v>173</v>
      </c>
      <c r="E618" t="s">
        <v>348</v>
      </c>
      <c r="F618" t="s">
        <v>116</v>
      </c>
      <c r="G618" t="s">
        <v>115</v>
      </c>
      <c r="H618" s="4">
        <v>13</v>
      </c>
      <c r="I618" t="str">
        <f t="shared" si="9"/>
        <v>Anchoa spiniferSpecule Anchovy</v>
      </c>
    </row>
    <row r="619" spans="1:9" x14ac:dyDescent="0.35">
      <c r="A619">
        <v>15</v>
      </c>
      <c r="B619">
        <v>2016</v>
      </c>
      <c r="C619">
        <v>8</v>
      </c>
      <c r="D619" t="s">
        <v>173</v>
      </c>
      <c r="E619" t="s">
        <v>348</v>
      </c>
      <c r="F619" t="s">
        <v>116</v>
      </c>
      <c r="G619" t="s">
        <v>115</v>
      </c>
      <c r="H619" s="4">
        <v>10</v>
      </c>
      <c r="I619" t="str">
        <f t="shared" si="9"/>
        <v>Anchoa spiniferSpecule Anchovy</v>
      </c>
    </row>
    <row r="620" spans="1:9" x14ac:dyDescent="0.35">
      <c r="A620">
        <v>15</v>
      </c>
      <c r="B620">
        <v>2016</v>
      </c>
      <c r="C620">
        <v>8</v>
      </c>
      <c r="D620" t="s">
        <v>173</v>
      </c>
      <c r="E620" t="s">
        <v>348</v>
      </c>
      <c r="F620" t="s">
        <v>50</v>
      </c>
      <c r="G620" t="s">
        <v>56</v>
      </c>
      <c r="H620" s="4">
        <v>64</v>
      </c>
      <c r="I620" t="str">
        <f t="shared" si="9"/>
        <v>Trichiurus lepturusSilverbelt</v>
      </c>
    </row>
    <row r="621" spans="1:9" x14ac:dyDescent="0.35">
      <c r="A621">
        <v>15</v>
      </c>
      <c r="B621">
        <v>2016</v>
      </c>
      <c r="C621">
        <v>8</v>
      </c>
      <c r="D621" t="s">
        <v>173</v>
      </c>
      <c r="E621" t="s">
        <v>348</v>
      </c>
      <c r="F621" t="s">
        <v>50</v>
      </c>
      <c r="G621" t="s">
        <v>56</v>
      </c>
      <c r="H621" s="4">
        <v>55</v>
      </c>
      <c r="I621" t="str">
        <f t="shared" si="9"/>
        <v>Trichiurus lepturusSilverbelt</v>
      </c>
    </row>
    <row r="622" spans="1:9" x14ac:dyDescent="0.35">
      <c r="A622">
        <v>15</v>
      </c>
      <c r="B622">
        <v>2016</v>
      </c>
      <c r="C622">
        <v>8</v>
      </c>
      <c r="D622" t="s">
        <v>173</v>
      </c>
      <c r="E622" t="s">
        <v>348</v>
      </c>
      <c r="F622" t="s">
        <v>50</v>
      </c>
      <c r="G622" t="s">
        <v>56</v>
      </c>
      <c r="H622" s="4">
        <v>40</v>
      </c>
      <c r="I622" t="str">
        <f t="shared" si="9"/>
        <v>Trichiurus lepturusSilverbelt</v>
      </c>
    </row>
    <row r="623" spans="1:9" x14ac:dyDescent="0.35">
      <c r="A623">
        <v>15</v>
      </c>
      <c r="B623">
        <v>2016</v>
      </c>
      <c r="C623">
        <v>8</v>
      </c>
      <c r="D623" t="s">
        <v>173</v>
      </c>
      <c r="E623" t="s">
        <v>348</v>
      </c>
      <c r="F623" t="s">
        <v>50</v>
      </c>
      <c r="G623" t="s">
        <v>56</v>
      </c>
      <c r="H623" s="4">
        <v>50</v>
      </c>
      <c r="I623" t="str">
        <f t="shared" si="9"/>
        <v>Trichiurus lepturusSilverbelt</v>
      </c>
    </row>
    <row r="624" spans="1:9" x14ac:dyDescent="0.35">
      <c r="A624">
        <v>15</v>
      </c>
      <c r="B624">
        <v>2016</v>
      </c>
      <c r="C624">
        <v>8</v>
      </c>
      <c r="D624" t="s">
        <v>173</v>
      </c>
      <c r="E624" t="s">
        <v>348</v>
      </c>
      <c r="F624" t="s">
        <v>50</v>
      </c>
      <c r="G624" t="s">
        <v>56</v>
      </c>
      <c r="H624" s="4">
        <v>50</v>
      </c>
      <c r="I624" t="str">
        <f t="shared" si="9"/>
        <v>Trichiurus lepturusSilverbelt</v>
      </c>
    </row>
    <row r="625" spans="1:9" x14ac:dyDescent="0.35">
      <c r="A625">
        <v>15</v>
      </c>
      <c r="B625">
        <v>2016</v>
      </c>
      <c r="C625">
        <v>8</v>
      </c>
      <c r="D625" t="s">
        <v>173</v>
      </c>
      <c r="E625" t="s">
        <v>348</v>
      </c>
      <c r="F625" t="s">
        <v>50</v>
      </c>
      <c r="G625" t="s">
        <v>56</v>
      </c>
      <c r="H625" s="4">
        <v>55</v>
      </c>
      <c r="I625" t="str">
        <f t="shared" si="9"/>
        <v>Trichiurus lepturusSilverbelt</v>
      </c>
    </row>
    <row r="626" spans="1:9" x14ac:dyDescent="0.35">
      <c r="A626">
        <v>15</v>
      </c>
      <c r="B626">
        <v>2016</v>
      </c>
      <c r="C626">
        <v>8</v>
      </c>
      <c r="D626" t="s">
        <v>173</v>
      </c>
      <c r="E626" t="s">
        <v>348</v>
      </c>
      <c r="F626" t="s">
        <v>50</v>
      </c>
      <c r="G626" t="s">
        <v>56</v>
      </c>
      <c r="H626" s="4">
        <v>40</v>
      </c>
      <c r="I626" t="str">
        <f t="shared" si="9"/>
        <v>Trichiurus lepturusSilverbelt</v>
      </c>
    </row>
    <row r="627" spans="1:9" x14ac:dyDescent="0.35">
      <c r="A627">
        <v>15</v>
      </c>
      <c r="B627">
        <v>2016</v>
      </c>
      <c r="C627">
        <v>8</v>
      </c>
      <c r="D627" t="s">
        <v>173</v>
      </c>
      <c r="E627" t="s">
        <v>348</v>
      </c>
      <c r="F627" t="s">
        <v>50</v>
      </c>
      <c r="G627" t="s">
        <v>56</v>
      </c>
      <c r="H627" s="4">
        <v>54</v>
      </c>
      <c r="I627" t="str">
        <f t="shared" si="9"/>
        <v>Trichiurus lepturusSilverbelt</v>
      </c>
    </row>
    <row r="628" spans="1:9" x14ac:dyDescent="0.35">
      <c r="A628">
        <v>15</v>
      </c>
      <c r="B628">
        <v>2016</v>
      </c>
      <c r="C628">
        <v>8</v>
      </c>
      <c r="D628" t="s">
        <v>173</v>
      </c>
      <c r="E628" t="s">
        <v>348</v>
      </c>
      <c r="F628" t="s">
        <v>50</v>
      </c>
      <c r="G628" t="s">
        <v>56</v>
      </c>
      <c r="H628" s="4">
        <v>54</v>
      </c>
      <c r="I628" t="str">
        <f t="shared" si="9"/>
        <v>Trichiurus lepturusSilverbelt</v>
      </c>
    </row>
    <row r="629" spans="1:9" x14ac:dyDescent="0.35">
      <c r="A629">
        <v>15</v>
      </c>
      <c r="B629">
        <v>2016</v>
      </c>
      <c r="C629">
        <v>8</v>
      </c>
      <c r="D629" t="s">
        <v>173</v>
      </c>
      <c r="E629" t="s">
        <v>348</v>
      </c>
      <c r="F629" t="s">
        <v>50</v>
      </c>
      <c r="G629" t="s">
        <v>56</v>
      </c>
      <c r="H629" s="4">
        <v>60</v>
      </c>
      <c r="I629" t="str">
        <f t="shared" si="9"/>
        <v>Trichiurus lepturusSilverbelt</v>
      </c>
    </row>
    <row r="630" spans="1:9" x14ac:dyDescent="0.35">
      <c r="A630">
        <v>15</v>
      </c>
      <c r="B630">
        <v>2016</v>
      </c>
      <c r="C630">
        <v>8</v>
      </c>
      <c r="D630" t="s">
        <v>173</v>
      </c>
      <c r="E630" t="s">
        <v>348</v>
      </c>
      <c r="F630" t="s">
        <v>50</v>
      </c>
      <c r="G630" t="s">
        <v>56</v>
      </c>
      <c r="H630" s="4">
        <v>30</v>
      </c>
      <c r="I630" t="str">
        <f t="shared" si="9"/>
        <v>Trichiurus lepturusSilverbelt</v>
      </c>
    </row>
    <row r="631" spans="1:9" x14ac:dyDescent="0.35">
      <c r="A631">
        <v>15</v>
      </c>
      <c r="B631">
        <v>2016</v>
      </c>
      <c r="C631">
        <v>8</v>
      </c>
      <c r="D631" t="s">
        <v>173</v>
      </c>
      <c r="E631" t="s">
        <v>348</v>
      </c>
      <c r="F631" t="s">
        <v>50</v>
      </c>
      <c r="G631" t="s">
        <v>56</v>
      </c>
      <c r="H631" s="4">
        <v>40</v>
      </c>
      <c r="I631" t="str">
        <f t="shared" si="9"/>
        <v>Trichiurus lepturusSilverbelt</v>
      </c>
    </row>
    <row r="632" spans="1:9" x14ac:dyDescent="0.35">
      <c r="A632">
        <v>15</v>
      </c>
      <c r="B632">
        <v>2016</v>
      </c>
      <c r="C632">
        <v>8</v>
      </c>
      <c r="D632" t="s">
        <v>173</v>
      </c>
      <c r="E632" t="s">
        <v>348</v>
      </c>
      <c r="F632" t="s">
        <v>50</v>
      </c>
      <c r="G632" t="s">
        <v>56</v>
      </c>
      <c r="H632" s="4">
        <v>55</v>
      </c>
      <c r="I632" t="str">
        <f t="shared" si="9"/>
        <v>Trichiurus lepturusSilverbelt</v>
      </c>
    </row>
    <row r="633" spans="1:9" x14ac:dyDescent="0.35">
      <c r="A633">
        <v>15</v>
      </c>
      <c r="B633">
        <v>2016</v>
      </c>
      <c r="C633">
        <v>8</v>
      </c>
      <c r="D633" t="s">
        <v>173</v>
      </c>
      <c r="E633" t="s">
        <v>348</v>
      </c>
      <c r="F633" t="s">
        <v>50</v>
      </c>
      <c r="G633" t="s">
        <v>56</v>
      </c>
      <c r="H633" s="4">
        <v>37</v>
      </c>
      <c r="I633" t="str">
        <f t="shared" si="9"/>
        <v>Trichiurus lepturusSilverbelt</v>
      </c>
    </row>
    <row r="634" spans="1:9" x14ac:dyDescent="0.35">
      <c r="A634">
        <v>15</v>
      </c>
      <c r="B634">
        <v>2016</v>
      </c>
      <c r="C634">
        <v>8</v>
      </c>
      <c r="D634" t="s">
        <v>173</v>
      </c>
      <c r="E634" t="s">
        <v>348</v>
      </c>
      <c r="F634" t="s">
        <v>50</v>
      </c>
      <c r="G634" t="s">
        <v>56</v>
      </c>
      <c r="H634" s="4">
        <v>51</v>
      </c>
      <c r="I634" t="str">
        <f t="shared" si="9"/>
        <v>Trichiurus lepturusSilverbelt</v>
      </c>
    </row>
    <row r="635" spans="1:9" x14ac:dyDescent="0.35">
      <c r="A635">
        <v>15</v>
      </c>
      <c r="B635">
        <v>2016</v>
      </c>
      <c r="C635">
        <v>8</v>
      </c>
      <c r="D635" t="s">
        <v>173</v>
      </c>
      <c r="E635" t="s">
        <v>348</v>
      </c>
      <c r="F635" t="s">
        <v>50</v>
      </c>
      <c r="G635" t="s">
        <v>56</v>
      </c>
      <c r="H635" s="4">
        <v>58</v>
      </c>
      <c r="I635" t="str">
        <f t="shared" si="9"/>
        <v>Trichiurus lepturusSilverbelt</v>
      </c>
    </row>
    <row r="636" spans="1:9" x14ac:dyDescent="0.35">
      <c r="A636">
        <v>15</v>
      </c>
      <c r="B636">
        <v>2016</v>
      </c>
      <c r="C636">
        <v>8</v>
      </c>
      <c r="D636" t="s">
        <v>173</v>
      </c>
      <c r="E636" t="s">
        <v>348</v>
      </c>
      <c r="F636" t="s">
        <v>50</v>
      </c>
      <c r="G636" t="s">
        <v>56</v>
      </c>
      <c r="H636" s="4">
        <v>48</v>
      </c>
      <c r="I636" t="str">
        <f t="shared" si="9"/>
        <v>Trichiurus lepturusSilverbelt</v>
      </c>
    </row>
    <row r="637" spans="1:9" x14ac:dyDescent="0.35">
      <c r="A637">
        <v>15</v>
      </c>
      <c r="B637">
        <v>2016</v>
      </c>
      <c r="C637">
        <v>8</v>
      </c>
      <c r="D637" t="s">
        <v>173</v>
      </c>
      <c r="E637" t="s">
        <v>348</v>
      </c>
      <c r="F637" t="s">
        <v>50</v>
      </c>
      <c r="G637" t="s">
        <v>56</v>
      </c>
      <c r="H637" s="4">
        <v>60</v>
      </c>
      <c r="I637" t="str">
        <f t="shared" si="9"/>
        <v>Trichiurus lepturusSilverbelt</v>
      </c>
    </row>
    <row r="638" spans="1:9" x14ac:dyDescent="0.35">
      <c r="A638">
        <v>15</v>
      </c>
      <c r="B638">
        <v>2016</v>
      </c>
      <c r="C638">
        <v>8</v>
      </c>
      <c r="D638" t="s">
        <v>173</v>
      </c>
      <c r="E638" t="s">
        <v>348</v>
      </c>
      <c r="F638" t="s">
        <v>50</v>
      </c>
      <c r="G638" t="s">
        <v>56</v>
      </c>
      <c r="H638" s="4">
        <v>49</v>
      </c>
      <c r="I638" t="str">
        <f t="shared" si="9"/>
        <v>Trichiurus lepturusSilverbelt</v>
      </c>
    </row>
    <row r="639" spans="1:9" x14ac:dyDescent="0.35">
      <c r="A639">
        <v>15</v>
      </c>
      <c r="B639">
        <v>2016</v>
      </c>
      <c r="C639">
        <v>8</v>
      </c>
      <c r="D639" t="s">
        <v>173</v>
      </c>
      <c r="E639" t="s">
        <v>348</v>
      </c>
      <c r="F639" t="s">
        <v>50</v>
      </c>
      <c r="G639" t="s">
        <v>56</v>
      </c>
      <c r="H639" s="4">
        <v>55</v>
      </c>
      <c r="I639" t="str">
        <f t="shared" si="9"/>
        <v>Trichiurus lepturusSilverbelt</v>
      </c>
    </row>
    <row r="640" spans="1:9" x14ac:dyDescent="0.35">
      <c r="A640">
        <v>15</v>
      </c>
      <c r="B640">
        <v>2016</v>
      </c>
      <c r="C640">
        <v>8</v>
      </c>
      <c r="D640" t="s">
        <v>173</v>
      </c>
      <c r="E640" t="s">
        <v>348</v>
      </c>
      <c r="F640" t="s">
        <v>50</v>
      </c>
      <c r="G640" t="s">
        <v>56</v>
      </c>
      <c r="H640" s="4">
        <v>60</v>
      </c>
      <c r="I640" t="str">
        <f t="shared" si="9"/>
        <v>Trichiurus lepturusSilverbelt</v>
      </c>
    </row>
    <row r="641" spans="1:9" x14ac:dyDescent="0.35">
      <c r="A641">
        <v>15</v>
      </c>
      <c r="B641">
        <v>2016</v>
      </c>
      <c r="C641">
        <v>8</v>
      </c>
      <c r="D641" t="s">
        <v>173</v>
      </c>
      <c r="E641" t="s">
        <v>348</v>
      </c>
      <c r="F641" t="s">
        <v>50</v>
      </c>
      <c r="G641" t="s">
        <v>56</v>
      </c>
      <c r="H641" s="4">
        <v>57</v>
      </c>
      <c r="I641" t="str">
        <f t="shared" si="9"/>
        <v>Trichiurus lepturusSilverbelt</v>
      </c>
    </row>
    <row r="642" spans="1:9" x14ac:dyDescent="0.35">
      <c r="A642">
        <v>15</v>
      </c>
      <c r="B642">
        <v>2016</v>
      </c>
      <c r="C642">
        <v>8</v>
      </c>
      <c r="D642" t="s">
        <v>173</v>
      </c>
      <c r="E642" t="s">
        <v>348</v>
      </c>
      <c r="F642" t="s">
        <v>50</v>
      </c>
      <c r="G642" t="s">
        <v>56</v>
      </c>
      <c r="H642" s="4">
        <v>58</v>
      </c>
      <c r="I642" t="str">
        <f t="shared" ref="I642:I705" si="10">CONCATENATE(F642,G642)</f>
        <v>Trichiurus lepturusSilverbelt</v>
      </c>
    </row>
    <row r="643" spans="1:9" x14ac:dyDescent="0.35">
      <c r="A643">
        <v>15</v>
      </c>
      <c r="B643">
        <v>2016</v>
      </c>
      <c r="C643">
        <v>8</v>
      </c>
      <c r="D643" t="s">
        <v>173</v>
      </c>
      <c r="E643" t="s">
        <v>348</v>
      </c>
      <c r="F643" t="s">
        <v>50</v>
      </c>
      <c r="G643" t="s">
        <v>56</v>
      </c>
      <c r="H643" s="4">
        <v>55</v>
      </c>
      <c r="I643" t="str">
        <f t="shared" si="10"/>
        <v>Trichiurus lepturusSilverbelt</v>
      </c>
    </row>
    <row r="644" spans="1:9" x14ac:dyDescent="0.35">
      <c r="A644">
        <v>15</v>
      </c>
      <c r="B644">
        <v>2016</v>
      </c>
      <c r="C644">
        <v>8</v>
      </c>
      <c r="D644" t="s">
        <v>173</v>
      </c>
      <c r="E644" t="s">
        <v>348</v>
      </c>
      <c r="F644" t="s">
        <v>50</v>
      </c>
      <c r="G644" t="s">
        <v>56</v>
      </c>
      <c r="H644" s="4">
        <v>52</v>
      </c>
      <c r="I644" t="str">
        <f t="shared" si="10"/>
        <v>Trichiurus lepturusSilverbelt</v>
      </c>
    </row>
    <row r="645" spans="1:9" x14ac:dyDescent="0.35">
      <c r="A645">
        <v>15</v>
      </c>
      <c r="B645">
        <v>2016</v>
      </c>
      <c r="C645">
        <v>8</v>
      </c>
      <c r="D645" t="s">
        <v>173</v>
      </c>
      <c r="E645" t="s">
        <v>348</v>
      </c>
      <c r="F645" t="s">
        <v>50</v>
      </c>
      <c r="G645" t="s">
        <v>56</v>
      </c>
      <c r="H645" s="4">
        <v>60</v>
      </c>
      <c r="I645" t="str">
        <f t="shared" si="10"/>
        <v>Trichiurus lepturusSilverbelt</v>
      </c>
    </row>
    <row r="646" spans="1:9" x14ac:dyDescent="0.35">
      <c r="A646">
        <v>15</v>
      </c>
      <c r="B646">
        <v>2016</v>
      </c>
      <c r="C646">
        <v>8</v>
      </c>
      <c r="D646" t="s">
        <v>173</v>
      </c>
      <c r="E646" t="s">
        <v>348</v>
      </c>
      <c r="F646" t="s">
        <v>50</v>
      </c>
      <c r="G646" t="s">
        <v>56</v>
      </c>
      <c r="H646" s="4">
        <v>62</v>
      </c>
      <c r="I646" t="str">
        <f t="shared" si="10"/>
        <v>Trichiurus lepturusSilverbelt</v>
      </c>
    </row>
    <row r="647" spans="1:9" x14ac:dyDescent="0.35">
      <c r="A647">
        <v>15</v>
      </c>
      <c r="B647">
        <v>2016</v>
      </c>
      <c r="C647">
        <v>8</v>
      </c>
      <c r="D647" t="s">
        <v>173</v>
      </c>
      <c r="E647" t="s">
        <v>348</v>
      </c>
      <c r="F647" t="s">
        <v>50</v>
      </c>
      <c r="G647" t="s">
        <v>56</v>
      </c>
      <c r="H647" s="4">
        <v>67</v>
      </c>
      <c r="I647" t="str">
        <f t="shared" si="10"/>
        <v>Trichiurus lepturusSilverbelt</v>
      </c>
    </row>
    <row r="648" spans="1:9" x14ac:dyDescent="0.35">
      <c r="A648">
        <v>15</v>
      </c>
      <c r="B648">
        <v>2016</v>
      </c>
      <c r="C648">
        <v>8</v>
      </c>
      <c r="D648" t="s">
        <v>173</v>
      </c>
      <c r="E648" t="s">
        <v>348</v>
      </c>
      <c r="F648" t="s">
        <v>50</v>
      </c>
      <c r="G648" t="s">
        <v>56</v>
      </c>
      <c r="H648" s="4">
        <v>60</v>
      </c>
      <c r="I648" t="str">
        <f t="shared" si="10"/>
        <v>Trichiurus lepturusSilverbelt</v>
      </c>
    </row>
    <row r="649" spans="1:9" x14ac:dyDescent="0.35">
      <c r="A649">
        <v>15</v>
      </c>
      <c r="B649">
        <v>2016</v>
      </c>
      <c r="C649">
        <v>8</v>
      </c>
      <c r="D649" t="s">
        <v>173</v>
      </c>
      <c r="E649" t="s">
        <v>348</v>
      </c>
      <c r="F649" t="s">
        <v>50</v>
      </c>
      <c r="G649" t="s">
        <v>56</v>
      </c>
      <c r="H649" s="4">
        <v>56</v>
      </c>
      <c r="I649" t="str">
        <f t="shared" si="10"/>
        <v>Trichiurus lepturusSilverbelt</v>
      </c>
    </row>
    <row r="650" spans="1:9" x14ac:dyDescent="0.35">
      <c r="A650">
        <v>15</v>
      </c>
      <c r="B650">
        <v>2016</v>
      </c>
      <c r="C650">
        <v>8</v>
      </c>
      <c r="D650" t="s">
        <v>173</v>
      </c>
      <c r="E650" t="s">
        <v>348</v>
      </c>
      <c r="F650" t="s">
        <v>50</v>
      </c>
      <c r="G650" t="s">
        <v>56</v>
      </c>
      <c r="H650" s="4">
        <v>59</v>
      </c>
      <c r="I650" t="str">
        <f t="shared" si="10"/>
        <v>Trichiurus lepturusSilverbelt</v>
      </c>
    </row>
    <row r="651" spans="1:9" x14ac:dyDescent="0.35">
      <c r="A651">
        <v>17</v>
      </c>
      <c r="B651">
        <v>2016</v>
      </c>
      <c r="C651">
        <v>9</v>
      </c>
      <c r="D651" t="s">
        <v>175</v>
      </c>
      <c r="E651" t="s">
        <v>348</v>
      </c>
      <c r="F651" t="s">
        <v>39</v>
      </c>
      <c r="G651" t="s">
        <v>38</v>
      </c>
      <c r="H651" s="4">
        <v>13</v>
      </c>
      <c r="I651" t="str">
        <f t="shared" si="10"/>
        <v>Colomesus psittacusBanded Puffer</v>
      </c>
    </row>
    <row r="652" spans="1:9" x14ac:dyDescent="0.35">
      <c r="A652">
        <v>17</v>
      </c>
      <c r="B652">
        <v>2016</v>
      </c>
      <c r="C652">
        <v>9</v>
      </c>
      <c r="D652" t="s">
        <v>175</v>
      </c>
      <c r="E652" t="s">
        <v>348</v>
      </c>
      <c r="F652" t="s">
        <v>39</v>
      </c>
      <c r="G652" t="s">
        <v>38</v>
      </c>
      <c r="H652" s="4">
        <v>11</v>
      </c>
      <c r="I652" t="str">
        <f t="shared" si="10"/>
        <v>Colomesus psittacusBanded Puffer</v>
      </c>
    </row>
    <row r="653" spans="1:9" x14ac:dyDescent="0.35">
      <c r="A653">
        <v>17</v>
      </c>
      <c r="B653">
        <v>2016</v>
      </c>
      <c r="C653">
        <v>9</v>
      </c>
      <c r="D653" t="s">
        <v>175</v>
      </c>
      <c r="E653" t="s">
        <v>348</v>
      </c>
      <c r="F653" t="s">
        <v>39</v>
      </c>
      <c r="G653" t="s">
        <v>38</v>
      </c>
      <c r="H653" s="4">
        <v>13</v>
      </c>
      <c r="I653" t="str">
        <f t="shared" si="10"/>
        <v>Colomesus psittacusBanded Puffer</v>
      </c>
    </row>
    <row r="654" spans="1:9" x14ac:dyDescent="0.35">
      <c r="A654">
        <v>17</v>
      </c>
      <c r="B654">
        <v>2016</v>
      </c>
      <c r="C654">
        <v>9</v>
      </c>
      <c r="D654" t="s">
        <v>175</v>
      </c>
      <c r="E654" t="s">
        <v>348</v>
      </c>
      <c r="F654" t="s">
        <v>39</v>
      </c>
      <c r="G654" t="s">
        <v>38</v>
      </c>
      <c r="H654" s="4">
        <v>10</v>
      </c>
      <c r="I654" t="str">
        <f t="shared" si="10"/>
        <v>Colomesus psittacusBanded Puffer</v>
      </c>
    </row>
    <row r="655" spans="1:9" x14ac:dyDescent="0.35">
      <c r="A655">
        <v>17</v>
      </c>
      <c r="B655">
        <v>2016</v>
      </c>
      <c r="C655">
        <v>9</v>
      </c>
      <c r="D655" t="s">
        <v>175</v>
      </c>
      <c r="E655" t="s">
        <v>348</v>
      </c>
      <c r="F655" t="s">
        <v>39</v>
      </c>
      <c r="G655" t="s">
        <v>38</v>
      </c>
      <c r="H655" s="4">
        <v>11</v>
      </c>
      <c r="I655" t="str">
        <f t="shared" si="10"/>
        <v>Colomesus psittacusBanded Puffer</v>
      </c>
    </row>
    <row r="656" spans="1:9" x14ac:dyDescent="0.35">
      <c r="A656">
        <v>17</v>
      </c>
      <c r="B656">
        <v>2016</v>
      </c>
      <c r="C656">
        <v>9</v>
      </c>
      <c r="D656" t="s">
        <v>175</v>
      </c>
      <c r="E656" t="s">
        <v>348</v>
      </c>
      <c r="F656" t="s">
        <v>39</v>
      </c>
      <c r="G656" t="s">
        <v>38</v>
      </c>
      <c r="H656" s="4">
        <v>16</v>
      </c>
      <c r="I656" t="str">
        <f t="shared" si="10"/>
        <v>Colomesus psittacusBanded Puffer</v>
      </c>
    </row>
    <row r="657" spans="1:9" x14ac:dyDescent="0.35">
      <c r="A657">
        <v>17</v>
      </c>
      <c r="B657">
        <v>2016</v>
      </c>
      <c r="C657">
        <v>9</v>
      </c>
      <c r="D657" t="s">
        <v>175</v>
      </c>
      <c r="E657" t="s">
        <v>348</v>
      </c>
      <c r="F657" t="s">
        <v>39</v>
      </c>
      <c r="G657" t="s">
        <v>38</v>
      </c>
      <c r="H657" s="4">
        <v>11</v>
      </c>
      <c r="I657" t="str">
        <f t="shared" si="10"/>
        <v>Colomesus psittacusBanded Puffer</v>
      </c>
    </row>
    <row r="658" spans="1:9" x14ac:dyDescent="0.35">
      <c r="A658">
        <v>17</v>
      </c>
      <c r="B658">
        <v>2016</v>
      </c>
      <c r="C658">
        <v>9</v>
      </c>
      <c r="D658" t="s">
        <v>175</v>
      </c>
      <c r="E658" t="s">
        <v>348</v>
      </c>
      <c r="F658" t="s">
        <v>39</v>
      </c>
      <c r="G658" t="s">
        <v>38</v>
      </c>
      <c r="H658" s="4">
        <v>10</v>
      </c>
      <c r="I658" t="str">
        <f t="shared" si="10"/>
        <v>Colomesus psittacusBanded Puffer</v>
      </c>
    </row>
    <row r="659" spans="1:9" x14ac:dyDescent="0.35">
      <c r="A659">
        <v>17</v>
      </c>
      <c r="B659">
        <v>2016</v>
      </c>
      <c r="C659">
        <v>9</v>
      </c>
      <c r="D659" t="s">
        <v>175</v>
      </c>
      <c r="E659" t="s">
        <v>348</v>
      </c>
      <c r="F659" t="s">
        <v>39</v>
      </c>
      <c r="G659" t="s">
        <v>38</v>
      </c>
      <c r="H659" s="4">
        <v>14</v>
      </c>
      <c r="I659" t="str">
        <f t="shared" si="10"/>
        <v>Colomesus psittacusBanded Puffer</v>
      </c>
    </row>
    <row r="660" spans="1:9" x14ac:dyDescent="0.35">
      <c r="A660">
        <v>17</v>
      </c>
      <c r="B660">
        <v>2016</v>
      </c>
      <c r="C660">
        <v>9</v>
      </c>
      <c r="D660" t="s">
        <v>175</v>
      </c>
      <c r="E660" t="s">
        <v>348</v>
      </c>
      <c r="F660" t="s">
        <v>39</v>
      </c>
      <c r="G660" t="s">
        <v>38</v>
      </c>
      <c r="H660" s="4">
        <v>10</v>
      </c>
      <c r="I660" t="str">
        <f t="shared" si="10"/>
        <v>Colomesus psittacusBanded Puffer</v>
      </c>
    </row>
    <row r="661" spans="1:9" x14ac:dyDescent="0.35">
      <c r="A661">
        <v>17</v>
      </c>
      <c r="B661">
        <v>2016</v>
      </c>
      <c r="C661">
        <v>9</v>
      </c>
      <c r="D661" t="s">
        <v>175</v>
      </c>
      <c r="E661" t="s">
        <v>348</v>
      </c>
      <c r="F661" t="s">
        <v>39</v>
      </c>
      <c r="G661" t="s">
        <v>38</v>
      </c>
      <c r="H661" s="4">
        <v>11</v>
      </c>
      <c r="I661" t="str">
        <f t="shared" si="10"/>
        <v>Colomesus psittacusBanded Puffer</v>
      </c>
    </row>
    <row r="662" spans="1:9" x14ac:dyDescent="0.35">
      <c r="A662">
        <v>17</v>
      </c>
      <c r="B662">
        <v>2016</v>
      </c>
      <c r="C662">
        <v>9</v>
      </c>
      <c r="D662" t="s">
        <v>175</v>
      </c>
      <c r="E662" t="s">
        <v>348</v>
      </c>
      <c r="F662" t="s">
        <v>39</v>
      </c>
      <c r="G662" t="s">
        <v>38</v>
      </c>
      <c r="H662" s="4">
        <v>11</v>
      </c>
      <c r="I662" t="str">
        <f t="shared" si="10"/>
        <v>Colomesus psittacusBanded Puffer</v>
      </c>
    </row>
    <row r="663" spans="1:9" x14ac:dyDescent="0.35">
      <c r="A663">
        <v>17</v>
      </c>
      <c r="B663">
        <v>2016</v>
      </c>
      <c r="C663">
        <v>9</v>
      </c>
      <c r="D663" t="s">
        <v>175</v>
      </c>
      <c r="E663" t="s">
        <v>348</v>
      </c>
      <c r="F663" t="s">
        <v>39</v>
      </c>
      <c r="G663" t="s">
        <v>38</v>
      </c>
      <c r="H663" s="4">
        <v>12</v>
      </c>
      <c r="I663" t="str">
        <f t="shared" si="10"/>
        <v>Colomesus psittacusBanded Puffer</v>
      </c>
    </row>
    <row r="664" spans="1:9" x14ac:dyDescent="0.35">
      <c r="A664">
        <v>17</v>
      </c>
      <c r="B664">
        <v>2016</v>
      </c>
      <c r="C664">
        <v>9</v>
      </c>
      <c r="D664" t="s">
        <v>175</v>
      </c>
      <c r="E664" t="s">
        <v>348</v>
      </c>
      <c r="F664" t="s">
        <v>39</v>
      </c>
      <c r="G664" t="s">
        <v>38</v>
      </c>
      <c r="H664" s="4">
        <v>12</v>
      </c>
      <c r="I664" t="str">
        <f t="shared" si="10"/>
        <v>Colomesus psittacusBanded Puffer</v>
      </c>
    </row>
    <row r="665" spans="1:9" x14ac:dyDescent="0.35">
      <c r="A665">
        <v>17</v>
      </c>
      <c r="B665">
        <v>2016</v>
      </c>
      <c r="C665">
        <v>9</v>
      </c>
      <c r="D665" t="s">
        <v>175</v>
      </c>
      <c r="E665" t="s">
        <v>348</v>
      </c>
      <c r="F665" t="s">
        <v>39</v>
      </c>
      <c r="G665" t="s">
        <v>38</v>
      </c>
      <c r="H665" s="4">
        <v>10</v>
      </c>
      <c r="I665" t="str">
        <f t="shared" si="10"/>
        <v>Colomesus psittacusBanded Puffer</v>
      </c>
    </row>
    <row r="666" spans="1:9" x14ac:dyDescent="0.35">
      <c r="A666">
        <v>17</v>
      </c>
      <c r="B666">
        <v>2016</v>
      </c>
      <c r="C666">
        <v>9</v>
      </c>
      <c r="D666" t="s">
        <v>175</v>
      </c>
      <c r="E666" t="s">
        <v>348</v>
      </c>
      <c r="F666" t="s">
        <v>39</v>
      </c>
      <c r="G666" t="s">
        <v>38</v>
      </c>
      <c r="H666" s="4">
        <v>10</v>
      </c>
      <c r="I666" t="str">
        <f t="shared" si="10"/>
        <v>Colomesus psittacusBanded Puffer</v>
      </c>
    </row>
    <row r="667" spans="1:9" x14ac:dyDescent="0.35">
      <c r="A667">
        <v>17</v>
      </c>
      <c r="B667">
        <v>2016</v>
      </c>
      <c r="C667">
        <v>9</v>
      </c>
      <c r="D667" t="s">
        <v>175</v>
      </c>
      <c r="E667" t="s">
        <v>348</v>
      </c>
      <c r="F667" t="s">
        <v>39</v>
      </c>
      <c r="G667" t="s">
        <v>38</v>
      </c>
      <c r="H667" s="4">
        <v>12</v>
      </c>
      <c r="I667" t="str">
        <f t="shared" si="10"/>
        <v>Colomesus psittacusBanded Puffer</v>
      </c>
    </row>
    <row r="668" spans="1:9" x14ac:dyDescent="0.35">
      <c r="A668">
        <v>17</v>
      </c>
      <c r="B668">
        <v>2016</v>
      </c>
      <c r="C668">
        <v>9</v>
      </c>
      <c r="D668" t="s">
        <v>175</v>
      </c>
      <c r="E668" t="s">
        <v>348</v>
      </c>
      <c r="F668" t="s">
        <v>39</v>
      </c>
      <c r="G668" t="s">
        <v>38</v>
      </c>
      <c r="H668" s="4">
        <v>11</v>
      </c>
      <c r="I668" t="str">
        <f t="shared" si="10"/>
        <v>Colomesus psittacusBanded Puffer</v>
      </c>
    </row>
    <row r="669" spans="1:9" x14ac:dyDescent="0.35">
      <c r="A669">
        <v>17</v>
      </c>
      <c r="B669">
        <v>2016</v>
      </c>
      <c r="C669">
        <v>9</v>
      </c>
      <c r="D669" t="s">
        <v>175</v>
      </c>
      <c r="E669" t="s">
        <v>348</v>
      </c>
      <c r="F669" t="s">
        <v>39</v>
      </c>
      <c r="G669" t="s">
        <v>38</v>
      </c>
      <c r="H669" s="4">
        <v>11</v>
      </c>
      <c r="I669" t="str">
        <f t="shared" si="10"/>
        <v>Colomesus psittacusBanded Puffer</v>
      </c>
    </row>
    <row r="670" spans="1:9" x14ac:dyDescent="0.35">
      <c r="A670">
        <v>17</v>
      </c>
      <c r="B670">
        <v>2016</v>
      </c>
      <c r="C670">
        <v>9</v>
      </c>
      <c r="D670" t="s">
        <v>175</v>
      </c>
      <c r="E670" t="s">
        <v>348</v>
      </c>
      <c r="F670" t="s">
        <v>39</v>
      </c>
      <c r="G670" t="s">
        <v>38</v>
      </c>
      <c r="H670" s="4">
        <v>10</v>
      </c>
      <c r="I670" t="str">
        <f t="shared" si="10"/>
        <v>Colomesus psittacusBanded Puffer</v>
      </c>
    </row>
    <row r="671" spans="1:9" x14ac:dyDescent="0.35">
      <c r="A671">
        <v>17</v>
      </c>
      <c r="B671">
        <v>2016</v>
      </c>
      <c r="C671">
        <v>9</v>
      </c>
      <c r="D671" t="s">
        <v>175</v>
      </c>
      <c r="E671" t="s">
        <v>348</v>
      </c>
      <c r="F671" t="s">
        <v>39</v>
      </c>
      <c r="G671" t="s">
        <v>38</v>
      </c>
      <c r="H671" s="4">
        <v>10</v>
      </c>
      <c r="I671" t="str">
        <f t="shared" si="10"/>
        <v>Colomesus psittacusBanded Puffer</v>
      </c>
    </row>
    <row r="672" spans="1:9" x14ac:dyDescent="0.35">
      <c r="A672">
        <v>17</v>
      </c>
      <c r="B672">
        <v>2016</v>
      </c>
      <c r="C672">
        <v>9</v>
      </c>
      <c r="D672" t="s">
        <v>175</v>
      </c>
      <c r="E672" t="s">
        <v>348</v>
      </c>
      <c r="F672" t="s">
        <v>39</v>
      </c>
      <c r="G672" t="s">
        <v>38</v>
      </c>
      <c r="H672" s="4">
        <v>11</v>
      </c>
      <c r="I672" t="str">
        <f t="shared" si="10"/>
        <v>Colomesus psittacusBanded Puffer</v>
      </c>
    </row>
    <row r="673" spans="1:9" x14ac:dyDescent="0.35">
      <c r="A673">
        <v>17</v>
      </c>
      <c r="B673">
        <v>2016</v>
      </c>
      <c r="C673">
        <v>9</v>
      </c>
      <c r="D673" t="s">
        <v>175</v>
      </c>
      <c r="E673" t="s">
        <v>348</v>
      </c>
      <c r="F673" t="s">
        <v>39</v>
      </c>
      <c r="G673" t="s">
        <v>38</v>
      </c>
      <c r="H673" s="4">
        <v>11</v>
      </c>
      <c r="I673" t="str">
        <f t="shared" si="10"/>
        <v>Colomesus psittacusBanded Puffer</v>
      </c>
    </row>
    <row r="674" spans="1:9" x14ac:dyDescent="0.35">
      <c r="A674">
        <v>17</v>
      </c>
      <c r="B674">
        <v>2016</v>
      </c>
      <c r="C674">
        <v>9</v>
      </c>
      <c r="D674" t="s">
        <v>175</v>
      </c>
      <c r="E674" t="s">
        <v>348</v>
      </c>
      <c r="F674" t="s">
        <v>39</v>
      </c>
      <c r="G674" t="s">
        <v>38</v>
      </c>
      <c r="H674" s="4">
        <v>13</v>
      </c>
      <c r="I674" t="str">
        <f t="shared" si="10"/>
        <v>Colomesus psittacusBanded Puffer</v>
      </c>
    </row>
    <row r="675" spans="1:9" x14ac:dyDescent="0.35">
      <c r="A675">
        <v>17</v>
      </c>
      <c r="B675">
        <v>2016</v>
      </c>
      <c r="C675">
        <v>9</v>
      </c>
      <c r="D675" t="s">
        <v>175</v>
      </c>
      <c r="E675" t="s">
        <v>348</v>
      </c>
      <c r="F675" t="s">
        <v>39</v>
      </c>
      <c r="G675" t="s">
        <v>38</v>
      </c>
      <c r="H675" s="4">
        <v>11</v>
      </c>
      <c r="I675" t="str">
        <f t="shared" si="10"/>
        <v>Colomesus psittacusBanded Puffer</v>
      </c>
    </row>
    <row r="676" spans="1:9" x14ac:dyDescent="0.35">
      <c r="A676">
        <v>17</v>
      </c>
      <c r="B676">
        <v>2016</v>
      </c>
      <c r="C676">
        <v>9</v>
      </c>
      <c r="D676" t="s">
        <v>175</v>
      </c>
      <c r="E676" t="s">
        <v>348</v>
      </c>
      <c r="F676" t="s">
        <v>39</v>
      </c>
      <c r="G676" t="s">
        <v>38</v>
      </c>
      <c r="H676" s="4">
        <v>11</v>
      </c>
      <c r="I676" t="str">
        <f t="shared" si="10"/>
        <v>Colomesus psittacusBanded Puffer</v>
      </c>
    </row>
    <row r="677" spans="1:9" x14ac:dyDescent="0.35">
      <c r="A677">
        <v>17</v>
      </c>
      <c r="B677">
        <v>2016</v>
      </c>
      <c r="C677">
        <v>9</v>
      </c>
      <c r="D677" t="s">
        <v>175</v>
      </c>
      <c r="E677" t="s">
        <v>348</v>
      </c>
      <c r="F677" t="s">
        <v>39</v>
      </c>
      <c r="G677" t="s">
        <v>38</v>
      </c>
      <c r="H677" s="4">
        <v>9</v>
      </c>
      <c r="I677" t="str">
        <f t="shared" si="10"/>
        <v>Colomesus psittacusBanded Puffer</v>
      </c>
    </row>
    <row r="678" spans="1:9" x14ac:dyDescent="0.35">
      <c r="A678">
        <v>17</v>
      </c>
      <c r="B678">
        <v>2016</v>
      </c>
      <c r="C678">
        <v>9</v>
      </c>
      <c r="D678" t="s">
        <v>175</v>
      </c>
      <c r="E678" t="s">
        <v>348</v>
      </c>
      <c r="F678" t="s">
        <v>39</v>
      </c>
      <c r="G678" t="s">
        <v>38</v>
      </c>
      <c r="H678" s="4">
        <v>10</v>
      </c>
      <c r="I678" t="str">
        <f t="shared" si="10"/>
        <v>Colomesus psittacusBanded Puffer</v>
      </c>
    </row>
    <row r="679" spans="1:9" x14ac:dyDescent="0.35">
      <c r="A679">
        <v>17</v>
      </c>
      <c r="B679">
        <v>2016</v>
      </c>
      <c r="C679">
        <v>9</v>
      </c>
      <c r="D679" t="s">
        <v>175</v>
      </c>
      <c r="E679" t="s">
        <v>348</v>
      </c>
      <c r="F679" t="s">
        <v>39</v>
      </c>
      <c r="G679" t="s">
        <v>38</v>
      </c>
      <c r="H679" s="4">
        <v>8</v>
      </c>
      <c r="I679" t="str">
        <f t="shared" si="10"/>
        <v>Colomesus psittacusBanded Puffer</v>
      </c>
    </row>
    <row r="680" spans="1:9" x14ac:dyDescent="0.35">
      <c r="A680">
        <v>17</v>
      </c>
      <c r="B680">
        <v>2016</v>
      </c>
      <c r="C680">
        <v>9</v>
      </c>
      <c r="D680" t="s">
        <v>175</v>
      </c>
      <c r="E680" t="s">
        <v>348</v>
      </c>
      <c r="F680" t="s">
        <v>39</v>
      </c>
      <c r="G680" t="s">
        <v>38</v>
      </c>
      <c r="H680" s="4">
        <v>12</v>
      </c>
      <c r="I680" t="str">
        <f t="shared" si="10"/>
        <v>Colomesus psittacusBanded Puffer</v>
      </c>
    </row>
    <row r="681" spans="1:9" x14ac:dyDescent="0.35">
      <c r="A681">
        <v>17</v>
      </c>
      <c r="B681">
        <v>2016</v>
      </c>
      <c r="C681">
        <v>9</v>
      </c>
      <c r="D681" t="s">
        <v>175</v>
      </c>
      <c r="E681" t="s">
        <v>348</v>
      </c>
      <c r="F681" t="s">
        <v>21</v>
      </c>
      <c r="G681" t="s">
        <v>59</v>
      </c>
      <c r="H681" s="4">
        <v>11</v>
      </c>
      <c r="I681" t="str">
        <f t="shared" si="10"/>
        <v>Stellifer micropsRockhead</v>
      </c>
    </row>
    <row r="682" spans="1:9" x14ac:dyDescent="0.35">
      <c r="A682">
        <v>17</v>
      </c>
      <c r="B682">
        <v>2016</v>
      </c>
      <c r="C682">
        <v>9</v>
      </c>
      <c r="D682" t="s">
        <v>175</v>
      </c>
      <c r="E682" t="s">
        <v>348</v>
      </c>
      <c r="F682" t="s">
        <v>21</v>
      </c>
      <c r="G682" t="s">
        <v>59</v>
      </c>
      <c r="H682" s="4">
        <v>13</v>
      </c>
      <c r="I682" t="str">
        <f t="shared" si="10"/>
        <v>Stellifer micropsRockhead</v>
      </c>
    </row>
    <row r="683" spans="1:9" x14ac:dyDescent="0.35">
      <c r="A683">
        <v>17</v>
      </c>
      <c r="B683">
        <v>2016</v>
      </c>
      <c r="C683">
        <v>9</v>
      </c>
      <c r="D683" t="s">
        <v>175</v>
      </c>
      <c r="E683" t="s">
        <v>348</v>
      </c>
      <c r="F683" t="s">
        <v>21</v>
      </c>
      <c r="G683" t="s">
        <v>59</v>
      </c>
      <c r="H683" s="4">
        <v>11</v>
      </c>
      <c r="I683" t="str">
        <f t="shared" si="10"/>
        <v>Stellifer micropsRockhead</v>
      </c>
    </row>
    <row r="684" spans="1:9" x14ac:dyDescent="0.35">
      <c r="A684">
        <v>17</v>
      </c>
      <c r="B684">
        <v>2016</v>
      </c>
      <c r="C684">
        <v>9</v>
      </c>
      <c r="D684" t="s">
        <v>175</v>
      </c>
      <c r="E684" t="s">
        <v>348</v>
      </c>
      <c r="F684" t="s">
        <v>21</v>
      </c>
      <c r="G684" t="s">
        <v>59</v>
      </c>
      <c r="H684" s="4">
        <v>12</v>
      </c>
      <c r="I684" t="str">
        <f t="shared" si="10"/>
        <v>Stellifer micropsRockhead</v>
      </c>
    </row>
    <row r="685" spans="1:9" x14ac:dyDescent="0.35">
      <c r="A685">
        <v>17</v>
      </c>
      <c r="B685">
        <v>2016</v>
      </c>
      <c r="C685">
        <v>9</v>
      </c>
      <c r="D685" t="s">
        <v>175</v>
      </c>
      <c r="E685" t="s">
        <v>348</v>
      </c>
      <c r="F685" t="s">
        <v>21</v>
      </c>
      <c r="G685" t="s">
        <v>59</v>
      </c>
      <c r="H685" s="4">
        <v>12</v>
      </c>
      <c r="I685" t="str">
        <f t="shared" si="10"/>
        <v>Stellifer micropsRockhead</v>
      </c>
    </row>
    <row r="686" spans="1:9" x14ac:dyDescent="0.35">
      <c r="A686">
        <v>17</v>
      </c>
      <c r="B686">
        <v>2016</v>
      </c>
      <c r="C686">
        <v>9</v>
      </c>
      <c r="D686" t="s">
        <v>175</v>
      </c>
      <c r="E686" t="s">
        <v>348</v>
      </c>
      <c r="F686" t="s">
        <v>21</v>
      </c>
      <c r="G686" t="s">
        <v>59</v>
      </c>
      <c r="H686" s="4">
        <v>11</v>
      </c>
      <c r="I686" t="str">
        <f t="shared" si="10"/>
        <v>Stellifer micropsRockhead</v>
      </c>
    </row>
    <row r="687" spans="1:9" x14ac:dyDescent="0.35">
      <c r="A687">
        <v>17</v>
      </c>
      <c r="B687">
        <v>2016</v>
      </c>
      <c r="C687">
        <v>9</v>
      </c>
      <c r="D687" t="s">
        <v>175</v>
      </c>
      <c r="E687" t="s">
        <v>348</v>
      </c>
      <c r="F687" t="s">
        <v>21</v>
      </c>
      <c r="G687" t="s">
        <v>59</v>
      </c>
      <c r="H687" s="4">
        <v>11</v>
      </c>
      <c r="I687" t="str">
        <f t="shared" si="10"/>
        <v>Stellifer micropsRockhead</v>
      </c>
    </row>
    <row r="688" spans="1:9" x14ac:dyDescent="0.35">
      <c r="A688">
        <v>17</v>
      </c>
      <c r="B688">
        <v>2016</v>
      </c>
      <c r="C688">
        <v>9</v>
      </c>
      <c r="D688" t="s">
        <v>175</v>
      </c>
      <c r="E688" t="s">
        <v>348</v>
      </c>
      <c r="F688" t="s">
        <v>21</v>
      </c>
      <c r="G688" t="s">
        <v>59</v>
      </c>
      <c r="H688" s="4">
        <v>10</v>
      </c>
      <c r="I688" t="str">
        <f t="shared" si="10"/>
        <v>Stellifer micropsRockhead</v>
      </c>
    </row>
    <row r="689" spans="1:9" x14ac:dyDescent="0.35">
      <c r="A689">
        <v>17</v>
      </c>
      <c r="B689">
        <v>2016</v>
      </c>
      <c r="C689">
        <v>9</v>
      </c>
      <c r="D689" t="s">
        <v>175</v>
      </c>
      <c r="E689" t="s">
        <v>348</v>
      </c>
      <c r="F689" t="s">
        <v>21</v>
      </c>
      <c r="G689" t="s">
        <v>59</v>
      </c>
      <c r="H689" s="4">
        <v>11</v>
      </c>
      <c r="I689" t="str">
        <f t="shared" si="10"/>
        <v>Stellifer micropsRockhead</v>
      </c>
    </row>
    <row r="690" spans="1:9" x14ac:dyDescent="0.35">
      <c r="A690">
        <v>17</v>
      </c>
      <c r="B690">
        <v>2016</v>
      </c>
      <c r="C690">
        <v>9</v>
      </c>
      <c r="D690" t="s">
        <v>175</v>
      </c>
      <c r="E690" t="s">
        <v>348</v>
      </c>
      <c r="F690" t="s">
        <v>21</v>
      </c>
      <c r="G690" t="s">
        <v>59</v>
      </c>
      <c r="H690" s="4">
        <v>13</v>
      </c>
      <c r="I690" t="str">
        <f t="shared" si="10"/>
        <v>Stellifer micropsRockhead</v>
      </c>
    </row>
    <row r="691" spans="1:9" x14ac:dyDescent="0.35">
      <c r="A691">
        <v>17</v>
      </c>
      <c r="B691">
        <v>2016</v>
      </c>
      <c r="C691">
        <v>9</v>
      </c>
      <c r="D691" t="s">
        <v>175</v>
      </c>
      <c r="E691" t="s">
        <v>348</v>
      </c>
      <c r="F691" t="s">
        <v>21</v>
      </c>
      <c r="G691" t="s">
        <v>59</v>
      </c>
      <c r="H691" s="4">
        <v>14</v>
      </c>
      <c r="I691" t="str">
        <f t="shared" si="10"/>
        <v>Stellifer micropsRockhead</v>
      </c>
    </row>
    <row r="692" spans="1:9" x14ac:dyDescent="0.35">
      <c r="A692">
        <v>17</v>
      </c>
      <c r="B692">
        <v>2016</v>
      </c>
      <c r="C692">
        <v>9</v>
      </c>
      <c r="D692" t="s">
        <v>175</v>
      </c>
      <c r="E692" t="s">
        <v>348</v>
      </c>
      <c r="F692" t="s">
        <v>21</v>
      </c>
      <c r="G692" t="s">
        <v>59</v>
      </c>
      <c r="H692" s="4">
        <v>16</v>
      </c>
      <c r="I692" t="str">
        <f t="shared" si="10"/>
        <v>Stellifer micropsRockhead</v>
      </c>
    </row>
    <row r="693" spans="1:9" x14ac:dyDescent="0.35">
      <c r="A693">
        <v>17</v>
      </c>
      <c r="B693">
        <v>2016</v>
      </c>
      <c r="C693">
        <v>9</v>
      </c>
      <c r="D693" t="s">
        <v>175</v>
      </c>
      <c r="E693" t="s">
        <v>348</v>
      </c>
      <c r="F693" t="s">
        <v>21</v>
      </c>
      <c r="G693" t="s">
        <v>59</v>
      </c>
      <c r="H693" s="4">
        <v>14</v>
      </c>
      <c r="I693" t="str">
        <f t="shared" si="10"/>
        <v>Stellifer micropsRockhead</v>
      </c>
    </row>
    <row r="694" spans="1:9" x14ac:dyDescent="0.35">
      <c r="A694">
        <v>17</v>
      </c>
      <c r="B694">
        <v>2016</v>
      </c>
      <c r="C694">
        <v>9</v>
      </c>
      <c r="D694" t="s">
        <v>175</v>
      </c>
      <c r="E694" t="s">
        <v>348</v>
      </c>
      <c r="F694" t="s">
        <v>21</v>
      </c>
      <c r="G694" t="s">
        <v>59</v>
      </c>
      <c r="H694" s="4">
        <v>14</v>
      </c>
      <c r="I694" t="str">
        <f t="shared" si="10"/>
        <v>Stellifer micropsRockhead</v>
      </c>
    </row>
    <row r="695" spans="1:9" x14ac:dyDescent="0.35">
      <c r="A695">
        <v>17</v>
      </c>
      <c r="B695">
        <v>2016</v>
      </c>
      <c r="C695">
        <v>9</v>
      </c>
      <c r="D695" t="s">
        <v>175</v>
      </c>
      <c r="E695" t="s">
        <v>348</v>
      </c>
      <c r="F695" t="s">
        <v>21</v>
      </c>
      <c r="G695" t="s">
        <v>59</v>
      </c>
      <c r="H695" s="4">
        <v>9</v>
      </c>
      <c r="I695" t="str">
        <f t="shared" si="10"/>
        <v>Stellifer micropsRockhead</v>
      </c>
    </row>
    <row r="696" spans="1:9" x14ac:dyDescent="0.35">
      <c r="A696">
        <v>17</v>
      </c>
      <c r="B696">
        <v>2016</v>
      </c>
      <c r="C696">
        <v>9</v>
      </c>
      <c r="D696" t="s">
        <v>175</v>
      </c>
      <c r="E696" t="s">
        <v>348</v>
      </c>
      <c r="F696" t="s">
        <v>21</v>
      </c>
      <c r="G696" t="s">
        <v>59</v>
      </c>
      <c r="H696" s="4">
        <v>15</v>
      </c>
      <c r="I696" t="str">
        <f t="shared" si="10"/>
        <v>Stellifer micropsRockhead</v>
      </c>
    </row>
    <row r="697" spans="1:9" x14ac:dyDescent="0.35">
      <c r="A697">
        <v>17</v>
      </c>
      <c r="B697">
        <v>2016</v>
      </c>
      <c r="C697">
        <v>9</v>
      </c>
      <c r="D697" t="s">
        <v>175</v>
      </c>
      <c r="E697" t="s">
        <v>348</v>
      </c>
      <c r="F697" t="s">
        <v>21</v>
      </c>
      <c r="G697" t="s">
        <v>59</v>
      </c>
      <c r="H697" s="4">
        <v>14</v>
      </c>
      <c r="I697" t="str">
        <f t="shared" si="10"/>
        <v>Stellifer micropsRockhead</v>
      </c>
    </row>
    <row r="698" spans="1:9" x14ac:dyDescent="0.35">
      <c r="A698">
        <v>17</v>
      </c>
      <c r="B698">
        <v>2016</v>
      </c>
      <c r="C698">
        <v>9</v>
      </c>
      <c r="D698" t="s">
        <v>175</v>
      </c>
      <c r="E698" t="s">
        <v>348</v>
      </c>
      <c r="F698" t="s">
        <v>21</v>
      </c>
      <c r="G698" t="s">
        <v>59</v>
      </c>
      <c r="H698" s="4">
        <v>15</v>
      </c>
      <c r="I698" t="str">
        <f t="shared" si="10"/>
        <v>Stellifer micropsRockhead</v>
      </c>
    </row>
    <row r="699" spans="1:9" x14ac:dyDescent="0.35">
      <c r="A699">
        <v>17</v>
      </c>
      <c r="B699">
        <v>2016</v>
      </c>
      <c r="C699">
        <v>9</v>
      </c>
      <c r="D699" t="s">
        <v>175</v>
      </c>
      <c r="E699" t="s">
        <v>348</v>
      </c>
      <c r="F699" t="s">
        <v>21</v>
      </c>
      <c r="G699" t="s">
        <v>59</v>
      </c>
      <c r="H699" s="4">
        <v>12</v>
      </c>
      <c r="I699" t="str">
        <f t="shared" si="10"/>
        <v>Stellifer micropsRockhead</v>
      </c>
    </row>
    <row r="700" spans="1:9" x14ac:dyDescent="0.35">
      <c r="A700">
        <v>17</v>
      </c>
      <c r="B700">
        <v>2016</v>
      </c>
      <c r="C700">
        <v>9</v>
      </c>
      <c r="D700" t="s">
        <v>175</v>
      </c>
      <c r="E700" t="s">
        <v>348</v>
      </c>
      <c r="F700" t="s">
        <v>21</v>
      </c>
      <c r="G700" t="s">
        <v>59</v>
      </c>
      <c r="H700" s="4">
        <v>12</v>
      </c>
      <c r="I700" t="str">
        <f t="shared" si="10"/>
        <v>Stellifer micropsRockhead</v>
      </c>
    </row>
    <row r="701" spans="1:9" x14ac:dyDescent="0.35">
      <c r="A701">
        <v>17</v>
      </c>
      <c r="B701">
        <v>2016</v>
      </c>
      <c r="C701">
        <v>9</v>
      </c>
      <c r="D701" t="s">
        <v>175</v>
      </c>
      <c r="E701" t="s">
        <v>348</v>
      </c>
      <c r="F701" t="s">
        <v>21</v>
      </c>
      <c r="G701" t="s">
        <v>59</v>
      </c>
      <c r="H701" s="4">
        <v>9</v>
      </c>
      <c r="I701" t="str">
        <f t="shared" si="10"/>
        <v>Stellifer micropsRockhead</v>
      </c>
    </row>
    <row r="702" spans="1:9" x14ac:dyDescent="0.35">
      <c r="A702">
        <v>17</v>
      </c>
      <c r="B702">
        <v>2016</v>
      </c>
      <c r="C702">
        <v>9</v>
      </c>
      <c r="D702" t="s">
        <v>175</v>
      </c>
      <c r="E702" t="s">
        <v>348</v>
      </c>
      <c r="F702" t="s">
        <v>21</v>
      </c>
      <c r="G702" t="s">
        <v>59</v>
      </c>
      <c r="H702" s="4">
        <v>10</v>
      </c>
      <c r="I702" t="str">
        <f t="shared" si="10"/>
        <v>Stellifer micropsRockhead</v>
      </c>
    </row>
    <row r="703" spans="1:9" x14ac:dyDescent="0.35">
      <c r="A703">
        <v>17</v>
      </c>
      <c r="B703">
        <v>2016</v>
      </c>
      <c r="C703">
        <v>9</v>
      </c>
      <c r="D703" t="s">
        <v>175</v>
      </c>
      <c r="E703" t="s">
        <v>348</v>
      </c>
      <c r="F703" t="s">
        <v>21</v>
      </c>
      <c r="G703" t="s">
        <v>59</v>
      </c>
      <c r="H703" s="4">
        <v>9</v>
      </c>
      <c r="I703" t="str">
        <f t="shared" si="10"/>
        <v>Stellifer micropsRockhead</v>
      </c>
    </row>
    <row r="704" spans="1:9" x14ac:dyDescent="0.35">
      <c r="A704">
        <v>17</v>
      </c>
      <c r="B704">
        <v>2016</v>
      </c>
      <c r="C704">
        <v>9</v>
      </c>
      <c r="D704" t="s">
        <v>175</v>
      </c>
      <c r="E704" t="s">
        <v>348</v>
      </c>
      <c r="F704" t="s">
        <v>21</v>
      </c>
      <c r="G704" t="s">
        <v>59</v>
      </c>
      <c r="H704" s="4">
        <v>10</v>
      </c>
      <c r="I704" t="str">
        <f t="shared" si="10"/>
        <v>Stellifer micropsRockhead</v>
      </c>
    </row>
    <row r="705" spans="1:9" x14ac:dyDescent="0.35">
      <c r="A705">
        <v>17</v>
      </c>
      <c r="B705">
        <v>2016</v>
      </c>
      <c r="C705">
        <v>9</v>
      </c>
      <c r="D705" t="s">
        <v>175</v>
      </c>
      <c r="E705" t="s">
        <v>348</v>
      </c>
      <c r="F705" t="s">
        <v>21</v>
      </c>
      <c r="G705" t="s">
        <v>59</v>
      </c>
      <c r="H705" s="4">
        <v>15</v>
      </c>
      <c r="I705" t="str">
        <f t="shared" si="10"/>
        <v>Stellifer micropsRockhead</v>
      </c>
    </row>
    <row r="706" spans="1:9" x14ac:dyDescent="0.35">
      <c r="A706">
        <v>17</v>
      </c>
      <c r="B706">
        <v>2016</v>
      </c>
      <c r="C706">
        <v>9</v>
      </c>
      <c r="D706" t="s">
        <v>175</v>
      </c>
      <c r="E706" t="s">
        <v>348</v>
      </c>
      <c r="F706" t="s">
        <v>21</v>
      </c>
      <c r="G706" t="s">
        <v>59</v>
      </c>
      <c r="H706" s="4">
        <v>10</v>
      </c>
      <c r="I706" t="str">
        <f t="shared" ref="I706:I769" si="11">CONCATENATE(F706,G706)</f>
        <v>Stellifer micropsRockhead</v>
      </c>
    </row>
    <row r="707" spans="1:9" x14ac:dyDescent="0.35">
      <c r="A707">
        <v>17</v>
      </c>
      <c r="B707">
        <v>2016</v>
      </c>
      <c r="C707">
        <v>9</v>
      </c>
      <c r="D707" t="s">
        <v>175</v>
      </c>
      <c r="E707" t="s">
        <v>348</v>
      </c>
      <c r="F707" t="s">
        <v>21</v>
      </c>
      <c r="G707" t="s">
        <v>59</v>
      </c>
      <c r="H707" s="4">
        <v>9</v>
      </c>
      <c r="I707" t="str">
        <f t="shared" si="11"/>
        <v>Stellifer micropsRockhead</v>
      </c>
    </row>
    <row r="708" spans="1:9" x14ac:dyDescent="0.35">
      <c r="A708">
        <v>17</v>
      </c>
      <c r="B708">
        <v>2016</v>
      </c>
      <c r="C708">
        <v>9</v>
      </c>
      <c r="D708" t="s">
        <v>175</v>
      </c>
      <c r="E708" t="s">
        <v>348</v>
      </c>
      <c r="F708" t="s">
        <v>21</v>
      </c>
      <c r="G708" t="s">
        <v>59</v>
      </c>
      <c r="H708" s="4">
        <v>8</v>
      </c>
      <c r="I708" t="str">
        <f t="shared" si="11"/>
        <v>Stellifer micropsRockhead</v>
      </c>
    </row>
    <row r="709" spans="1:9" x14ac:dyDescent="0.35">
      <c r="A709">
        <v>17</v>
      </c>
      <c r="B709">
        <v>2016</v>
      </c>
      <c r="C709">
        <v>9</v>
      </c>
      <c r="D709" t="s">
        <v>175</v>
      </c>
      <c r="E709" t="s">
        <v>348</v>
      </c>
      <c r="F709" t="s">
        <v>21</v>
      </c>
      <c r="G709" t="s">
        <v>59</v>
      </c>
      <c r="H709" s="4">
        <v>9</v>
      </c>
      <c r="I709" t="str">
        <f t="shared" si="11"/>
        <v>Stellifer micropsRockhead</v>
      </c>
    </row>
    <row r="710" spans="1:9" x14ac:dyDescent="0.35">
      <c r="A710">
        <v>17</v>
      </c>
      <c r="B710">
        <v>2016</v>
      </c>
      <c r="C710">
        <v>9</v>
      </c>
      <c r="D710" t="s">
        <v>175</v>
      </c>
      <c r="E710" t="s">
        <v>348</v>
      </c>
      <c r="F710" t="s">
        <v>21</v>
      </c>
      <c r="G710" t="s">
        <v>59</v>
      </c>
      <c r="H710" s="4">
        <v>7</v>
      </c>
      <c r="I710" t="str">
        <f t="shared" si="11"/>
        <v>Stellifer micropsRockhead</v>
      </c>
    </row>
    <row r="711" spans="1:9" x14ac:dyDescent="0.35">
      <c r="A711">
        <v>17</v>
      </c>
      <c r="B711">
        <v>2016</v>
      </c>
      <c r="C711">
        <v>9</v>
      </c>
      <c r="D711" t="s">
        <v>175</v>
      </c>
      <c r="E711" t="s">
        <v>348</v>
      </c>
      <c r="F711" t="s">
        <v>17</v>
      </c>
      <c r="G711" t="s">
        <v>34</v>
      </c>
      <c r="H711" s="4">
        <v>15</v>
      </c>
      <c r="I711" t="str">
        <f t="shared" si="11"/>
        <v>Larimus brevicepsSilver Snapper</v>
      </c>
    </row>
    <row r="712" spans="1:9" x14ac:dyDescent="0.35">
      <c r="A712">
        <v>17</v>
      </c>
      <c r="B712">
        <v>2016</v>
      </c>
      <c r="C712">
        <v>9</v>
      </c>
      <c r="D712" t="s">
        <v>175</v>
      </c>
      <c r="E712" t="s">
        <v>348</v>
      </c>
      <c r="F712" t="s">
        <v>17</v>
      </c>
      <c r="G712" t="s">
        <v>34</v>
      </c>
      <c r="H712" s="4">
        <v>9</v>
      </c>
      <c r="I712" t="str">
        <f t="shared" si="11"/>
        <v>Larimus brevicepsSilver Snapper</v>
      </c>
    </row>
    <row r="713" spans="1:9" x14ac:dyDescent="0.35">
      <c r="A713">
        <v>17</v>
      </c>
      <c r="B713">
        <v>2016</v>
      </c>
      <c r="C713">
        <v>9</v>
      </c>
      <c r="D713" t="s">
        <v>175</v>
      </c>
      <c r="E713" t="s">
        <v>348</v>
      </c>
      <c r="F713" t="s">
        <v>17</v>
      </c>
      <c r="G713" t="s">
        <v>34</v>
      </c>
      <c r="H713" s="4">
        <v>14</v>
      </c>
      <c r="I713" t="str">
        <f t="shared" si="11"/>
        <v>Larimus brevicepsSilver Snapper</v>
      </c>
    </row>
    <row r="714" spans="1:9" x14ac:dyDescent="0.35">
      <c r="A714">
        <v>17</v>
      </c>
      <c r="B714">
        <v>2016</v>
      </c>
      <c r="C714">
        <v>9</v>
      </c>
      <c r="D714" t="s">
        <v>175</v>
      </c>
      <c r="E714" t="s">
        <v>348</v>
      </c>
      <c r="F714" t="s">
        <v>17</v>
      </c>
      <c r="G714" t="s">
        <v>34</v>
      </c>
      <c r="H714" s="4">
        <v>12</v>
      </c>
      <c r="I714" t="str">
        <f t="shared" si="11"/>
        <v>Larimus brevicepsSilver Snapper</v>
      </c>
    </row>
    <row r="715" spans="1:9" x14ac:dyDescent="0.35">
      <c r="A715">
        <v>17</v>
      </c>
      <c r="B715">
        <v>2016</v>
      </c>
      <c r="C715">
        <v>9</v>
      </c>
      <c r="D715" t="s">
        <v>175</v>
      </c>
      <c r="E715" t="s">
        <v>348</v>
      </c>
      <c r="F715" t="s">
        <v>17</v>
      </c>
      <c r="G715" t="s">
        <v>34</v>
      </c>
      <c r="H715" s="4">
        <v>15</v>
      </c>
      <c r="I715" t="str">
        <f t="shared" si="11"/>
        <v>Larimus brevicepsSilver Snapper</v>
      </c>
    </row>
    <row r="716" spans="1:9" x14ac:dyDescent="0.35">
      <c r="A716">
        <v>17</v>
      </c>
      <c r="B716">
        <v>2016</v>
      </c>
      <c r="C716">
        <v>9</v>
      </c>
      <c r="D716" t="s">
        <v>175</v>
      </c>
      <c r="E716" t="s">
        <v>348</v>
      </c>
      <c r="F716" t="s">
        <v>17</v>
      </c>
      <c r="G716" t="s">
        <v>34</v>
      </c>
      <c r="H716" s="4">
        <v>14</v>
      </c>
      <c r="I716" t="str">
        <f t="shared" si="11"/>
        <v>Larimus brevicepsSilver Snapper</v>
      </c>
    </row>
    <row r="717" spans="1:9" x14ac:dyDescent="0.35">
      <c r="A717">
        <v>17</v>
      </c>
      <c r="B717">
        <v>2016</v>
      </c>
      <c r="C717">
        <v>9</v>
      </c>
      <c r="D717" t="s">
        <v>175</v>
      </c>
      <c r="E717" t="s">
        <v>348</v>
      </c>
      <c r="F717" t="s">
        <v>17</v>
      </c>
      <c r="G717" t="s">
        <v>34</v>
      </c>
      <c r="H717" s="4">
        <v>11</v>
      </c>
      <c r="I717" t="str">
        <f t="shared" si="11"/>
        <v>Larimus brevicepsSilver Snapper</v>
      </c>
    </row>
    <row r="718" spans="1:9" x14ac:dyDescent="0.35">
      <c r="A718">
        <v>17</v>
      </c>
      <c r="B718">
        <v>2016</v>
      </c>
      <c r="C718">
        <v>9</v>
      </c>
      <c r="D718" t="s">
        <v>175</v>
      </c>
      <c r="E718" t="s">
        <v>348</v>
      </c>
      <c r="F718" t="s">
        <v>17</v>
      </c>
      <c r="G718" t="s">
        <v>34</v>
      </c>
      <c r="H718" s="4">
        <v>21</v>
      </c>
      <c r="I718" t="str">
        <f t="shared" si="11"/>
        <v>Larimus brevicepsSilver Snapper</v>
      </c>
    </row>
    <row r="719" spans="1:9" x14ac:dyDescent="0.35">
      <c r="A719">
        <v>17</v>
      </c>
      <c r="B719">
        <v>2016</v>
      </c>
      <c r="C719">
        <v>9</v>
      </c>
      <c r="D719" t="s">
        <v>175</v>
      </c>
      <c r="E719" t="s">
        <v>348</v>
      </c>
      <c r="F719" t="s">
        <v>17</v>
      </c>
      <c r="G719" t="s">
        <v>34</v>
      </c>
      <c r="H719" s="4">
        <v>14</v>
      </c>
      <c r="I719" t="str">
        <f t="shared" si="11"/>
        <v>Larimus brevicepsSilver Snapper</v>
      </c>
    </row>
    <row r="720" spans="1:9" x14ac:dyDescent="0.35">
      <c r="A720">
        <v>17</v>
      </c>
      <c r="B720">
        <v>2016</v>
      </c>
      <c r="C720">
        <v>9</v>
      </c>
      <c r="D720" t="s">
        <v>175</v>
      </c>
      <c r="E720" t="s">
        <v>348</v>
      </c>
      <c r="F720" t="s">
        <v>17</v>
      </c>
      <c r="G720" t="s">
        <v>34</v>
      </c>
      <c r="H720" s="4">
        <v>14</v>
      </c>
      <c r="I720" t="str">
        <f t="shared" si="11"/>
        <v>Larimus brevicepsSilver Snapper</v>
      </c>
    </row>
    <row r="721" spans="1:9" x14ac:dyDescent="0.35">
      <c r="A721">
        <v>17</v>
      </c>
      <c r="B721">
        <v>2016</v>
      </c>
      <c r="C721">
        <v>9</v>
      </c>
      <c r="D721" t="s">
        <v>175</v>
      </c>
      <c r="E721" t="s">
        <v>348</v>
      </c>
      <c r="F721" t="s">
        <v>17</v>
      </c>
      <c r="G721" t="s">
        <v>34</v>
      </c>
      <c r="H721" s="4">
        <v>12</v>
      </c>
      <c r="I721" t="str">
        <f t="shared" si="11"/>
        <v>Larimus brevicepsSilver Snapper</v>
      </c>
    </row>
    <row r="722" spans="1:9" x14ac:dyDescent="0.35">
      <c r="A722">
        <v>17</v>
      </c>
      <c r="B722">
        <v>2016</v>
      </c>
      <c r="C722">
        <v>9</v>
      </c>
      <c r="D722" t="s">
        <v>175</v>
      </c>
      <c r="E722" t="s">
        <v>348</v>
      </c>
      <c r="F722" t="s">
        <v>17</v>
      </c>
      <c r="G722" t="s">
        <v>34</v>
      </c>
      <c r="H722" s="4">
        <v>12</v>
      </c>
      <c r="I722" t="str">
        <f t="shared" si="11"/>
        <v>Larimus brevicepsSilver Snapper</v>
      </c>
    </row>
    <row r="723" spans="1:9" x14ac:dyDescent="0.35">
      <c r="A723">
        <v>17</v>
      </c>
      <c r="B723">
        <v>2016</v>
      </c>
      <c r="C723">
        <v>9</v>
      </c>
      <c r="D723" t="s">
        <v>175</v>
      </c>
      <c r="E723" t="s">
        <v>348</v>
      </c>
      <c r="F723" t="s">
        <v>17</v>
      </c>
      <c r="G723" t="s">
        <v>34</v>
      </c>
      <c r="H723" s="4">
        <v>15</v>
      </c>
      <c r="I723" t="str">
        <f t="shared" si="11"/>
        <v>Larimus brevicepsSilver Snapper</v>
      </c>
    </row>
    <row r="724" spans="1:9" x14ac:dyDescent="0.35">
      <c r="A724">
        <v>17</v>
      </c>
      <c r="B724">
        <v>2016</v>
      </c>
      <c r="C724">
        <v>9</v>
      </c>
      <c r="D724" t="s">
        <v>175</v>
      </c>
      <c r="E724" t="s">
        <v>348</v>
      </c>
      <c r="F724" t="s">
        <v>17</v>
      </c>
      <c r="G724" t="s">
        <v>34</v>
      </c>
      <c r="H724" s="4">
        <v>23</v>
      </c>
      <c r="I724" t="str">
        <f t="shared" si="11"/>
        <v>Larimus brevicepsSilver Snapper</v>
      </c>
    </row>
    <row r="725" spans="1:9" x14ac:dyDescent="0.35">
      <c r="A725">
        <v>17</v>
      </c>
      <c r="B725">
        <v>2016</v>
      </c>
      <c r="C725">
        <v>9</v>
      </c>
      <c r="D725" t="s">
        <v>175</v>
      </c>
      <c r="E725" t="s">
        <v>348</v>
      </c>
      <c r="F725" t="s">
        <v>17</v>
      </c>
      <c r="G725" t="s">
        <v>34</v>
      </c>
      <c r="H725" s="4">
        <v>12</v>
      </c>
      <c r="I725" t="str">
        <f t="shared" si="11"/>
        <v>Larimus brevicepsSilver Snapper</v>
      </c>
    </row>
    <row r="726" spans="1:9" x14ac:dyDescent="0.35">
      <c r="A726">
        <v>17</v>
      </c>
      <c r="B726">
        <v>2016</v>
      </c>
      <c r="C726">
        <v>9</v>
      </c>
      <c r="D726" t="s">
        <v>175</v>
      </c>
      <c r="E726" t="s">
        <v>348</v>
      </c>
      <c r="F726" t="s">
        <v>17</v>
      </c>
      <c r="G726" t="s">
        <v>34</v>
      </c>
      <c r="H726" s="4">
        <v>9</v>
      </c>
      <c r="I726" t="str">
        <f t="shared" si="11"/>
        <v>Larimus brevicepsSilver Snapper</v>
      </c>
    </row>
    <row r="727" spans="1:9" x14ac:dyDescent="0.35">
      <c r="A727">
        <v>17</v>
      </c>
      <c r="B727">
        <v>2016</v>
      </c>
      <c r="C727">
        <v>9</v>
      </c>
      <c r="D727" t="s">
        <v>175</v>
      </c>
      <c r="E727" t="s">
        <v>348</v>
      </c>
      <c r="F727" t="s">
        <v>17</v>
      </c>
      <c r="G727" t="s">
        <v>34</v>
      </c>
      <c r="H727" s="4">
        <v>12</v>
      </c>
      <c r="I727" t="str">
        <f t="shared" si="11"/>
        <v>Larimus brevicepsSilver Snapper</v>
      </c>
    </row>
    <row r="728" spans="1:9" x14ac:dyDescent="0.35">
      <c r="A728">
        <v>17</v>
      </c>
      <c r="B728">
        <v>2016</v>
      </c>
      <c r="C728">
        <v>9</v>
      </c>
      <c r="D728" t="s">
        <v>175</v>
      </c>
      <c r="E728" t="s">
        <v>348</v>
      </c>
      <c r="F728" t="s">
        <v>17</v>
      </c>
      <c r="G728" t="s">
        <v>34</v>
      </c>
      <c r="H728" s="4">
        <v>13</v>
      </c>
      <c r="I728" t="str">
        <f t="shared" si="11"/>
        <v>Larimus brevicepsSilver Snapper</v>
      </c>
    </row>
    <row r="729" spans="1:9" x14ac:dyDescent="0.35">
      <c r="A729">
        <v>17</v>
      </c>
      <c r="B729">
        <v>2016</v>
      </c>
      <c r="C729">
        <v>9</v>
      </c>
      <c r="D729" t="s">
        <v>175</v>
      </c>
      <c r="E729" t="s">
        <v>348</v>
      </c>
      <c r="F729" t="s">
        <v>17</v>
      </c>
      <c r="G729" t="s">
        <v>34</v>
      </c>
      <c r="H729" s="4">
        <v>10</v>
      </c>
      <c r="I729" t="str">
        <f t="shared" si="11"/>
        <v>Larimus brevicepsSilver Snapper</v>
      </c>
    </row>
    <row r="730" spans="1:9" x14ac:dyDescent="0.35">
      <c r="A730">
        <v>17</v>
      </c>
      <c r="B730">
        <v>2016</v>
      </c>
      <c r="C730">
        <v>9</v>
      </c>
      <c r="D730" t="s">
        <v>175</v>
      </c>
      <c r="E730" t="s">
        <v>348</v>
      </c>
      <c r="F730" t="s">
        <v>17</v>
      </c>
      <c r="G730" t="s">
        <v>34</v>
      </c>
      <c r="H730" s="4">
        <v>11</v>
      </c>
      <c r="I730" t="str">
        <f t="shared" si="11"/>
        <v>Larimus brevicepsSilver Snapper</v>
      </c>
    </row>
    <row r="731" spans="1:9" x14ac:dyDescent="0.35">
      <c r="A731">
        <v>17</v>
      </c>
      <c r="B731">
        <v>2016</v>
      </c>
      <c r="C731">
        <v>9</v>
      </c>
      <c r="D731" t="s">
        <v>175</v>
      </c>
      <c r="E731" t="s">
        <v>348</v>
      </c>
      <c r="F731" t="s">
        <v>17</v>
      </c>
      <c r="G731" t="s">
        <v>34</v>
      </c>
      <c r="H731" s="4">
        <v>11</v>
      </c>
      <c r="I731" t="str">
        <f t="shared" si="11"/>
        <v>Larimus brevicepsSilver Snapper</v>
      </c>
    </row>
    <row r="732" spans="1:9" x14ac:dyDescent="0.35">
      <c r="A732">
        <v>17</v>
      </c>
      <c r="B732">
        <v>2016</v>
      </c>
      <c r="C732">
        <v>9</v>
      </c>
      <c r="D732" t="s">
        <v>175</v>
      </c>
      <c r="E732" t="s">
        <v>348</v>
      </c>
      <c r="F732" t="s">
        <v>17</v>
      </c>
      <c r="G732" t="s">
        <v>34</v>
      </c>
      <c r="H732" s="4">
        <v>11</v>
      </c>
      <c r="I732" t="str">
        <f t="shared" si="11"/>
        <v>Larimus brevicepsSilver Snapper</v>
      </c>
    </row>
    <row r="733" spans="1:9" x14ac:dyDescent="0.35">
      <c r="A733">
        <v>17</v>
      </c>
      <c r="B733">
        <v>2016</v>
      </c>
      <c r="C733">
        <v>9</v>
      </c>
      <c r="D733" t="s">
        <v>175</v>
      </c>
      <c r="E733" t="s">
        <v>348</v>
      </c>
      <c r="F733" t="s">
        <v>17</v>
      </c>
      <c r="G733" t="s">
        <v>34</v>
      </c>
      <c r="H733" s="4">
        <v>6</v>
      </c>
      <c r="I733" t="str">
        <f t="shared" si="11"/>
        <v>Larimus brevicepsSilver Snapper</v>
      </c>
    </row>
    <row r="734" spans="1:9" x14ac:dyDescent="0.35">
      <c r="A734">
        <v>17</v>
      </c>
      <c r="B734">
        <v>2016</v>
      </c>
      <c r="C734">
        <v>9</v>
      </c>
      <c r="D734" t="s">
        <v>175</v>
      </c>
      <c r="E734" t="s">
        <v>348</v>
      </c>
      <c r="F734" t="s">
        <v>17</v>
      </c>
      <c r="G734" t="s">
        <v>34</v>
      </c>
      <c r="H734" s="4">
        <v>8</v>
      </c>
      <c r="I734" t="str">
        <f t="shared" si="11"/>
        <v>Larimus brevicepsSilver Snapper</v>
      </c>
    </row>
    <row r="735" spans="1:9" x14ac:dyDescent="0.35">
      <c r="A735">
        <v>17</v>
      </c>
      <c r="B735">
        <v>2016</v>
      </c>
      <c r="C735">
        <v>9</v>
      </c>
      <c r="D735" t="s">
        <v>175</v>
      </c>
      <c r="E735" t="s">
        <v>348</v>
      </c>
      <c r="F735" t="s">
        <v>17</v>
      </c>
      <c r="G735" t="s">
        <v>34</v>
      </c>
      <c r="H735" s="4">
        <v>8</v>
      </c>
      <c r="I735" t="str">
        <f t="shared" si="11"/>
        <v>Larimus brevicepsSilver Snapper</v>
      </c>
    </row>
    <row r="736" spans="1:9" x14ac:dyDescent="0.35">
      <c r="A736">
        <v>17</v>
      </c>
      <c r="B736">
        <v>2016</v>
      </c>
      <c r="C736">
        <v>9</v>
      </c>
      <c r="D736" t="s">
        <v>175</v>
      </c>
      <c r="E736" t="s">
        <v>348</v>
      </c>
      <c r="F736" t="s">
        <v>17</v>
      </c>
      <c r="G736" t="s">
        <v>34</v>
      </c>
      <c r="H736" s="4">
        <v>7</v>
      </c>
      <c r="I736" t="str">
        <f t="shared" si="11"/>
        <v>Larimus brevicepsSilver Snapper</v>
      </c>
    </row>
    <row r="737" spans="1:9" x14ac:dyDescent="0.35">
      <c r="A737">
        <v>17</v>
      </c>
      <c r="B737">
        <v>2016</v>
      </c>
      <c r="C737">
        <v>9</v>
      </c>
      <c r="D737" t="s">
        <v>175</v>
      </c>
      <c r="E737" t="s">
        <v>348</v>
      </c>
      <c r="F737" t="s">
        <v>17</v>
      </c>
      <c r="G737" t="s">
        <v>34</v>
      </c>
      <c r="H737" s="4">
        <v>8</v>
      </c>
      <c r="I737" t="str">
        <f t="shared" si="11"/>
        <v>Larimus brevicepsSilver Snapper</v>
      </c>
    </row>
    <row r="738" spans="1:9" x14ac:dyDescent="0.35">
      <c r="A738">
        <v>17</v>
      </c>
      <c r="B738">
        <v>2016</v>
      </c>
      <c r="C738">
        <v>9</v>
      </c>
      <c r="D738" t="s">
        <v>175</v>
      </c>
      <c r="E738" t="s">
        <v>348</v>
      </c>
      <c r="F738" t="s">
        <v>17</v>
      </c>
      <c r="G738" t="s">
        <v>34</v>
      </c>
      <c r="H738" s="4">
        <v>6</v>
      </c>
      <c r="I738" t="str">
        <f t="shared" si="11"/>
        <v>Larimus brevicepsSilver Snapper</v>
      </c>
    </row>
    <row r="739" spans="1:9" x14ac:dyDescent="0.35">
      <c r="A739">
        <v>17</v>
      </c>
      <c r="B739">
        <v>2016</v>
      </c>
      <c r="C739">
        <v>9</v>
      </c>
      <c r="D739" t="s">
        <v>175</v>
      </c>
      <c r="E739" t="s">
        <v>348</v>
      </c>
      <c r="F739" t="s">
        <v>17</v>
      </c>
      <c r="G739" t="s">
        <v>34</v>
      </c>
      <c r="H739" s="4">
        <v>7</v>
      </c>
      <c r="I739" t="str">
        <f t="shared" si="11"/>
        <v>Larimus brevicepsSilver Snapper</v>
      </c>
    </row>
    <row r="740" spans="1:9" x14ac:dyDescent="0.35">
      <c r="A740">
        <v>17</v>
      </c>
      <c r="B740">
        <v>2016</v>
      </c>
      <c r="C740">
        <v>9</v>
      </c>
      <c r="D740" t="s">
        <v>175</v>
      </c>
      <c r="E740" t="s">
        <v>348</v>
      </c>
      <c r="F740" t="s">
        <v>17</v>
      </c>
      <c r="G740" t="s">
        <v>34</v>
      </c>
      <c r="H740" s="4">
        <v>6</v>
      </c>
      <c r="I740" t="str">
        <f t="shared" si="11"/>
        <v>Larimus brevicepsSilver Snapper</v>
      </c>
    </row>
    <row r="741" spans="1:9" x14ac:dyDescent="0.35">
      <c r="A741">
        <v>18</v>
      </c>
      <c r="B741">
        <v>2016</v>
      </c>
      <c r="C741">
        <v>10</v>
      </c>
      <c r="D741" t="s">
        <v>175</v>
      </c>
      <c r="E741" t="s">
        <v>348</v>
      </c>
      <c r="F741" t="s">
        <v>40</v>
      </c>
      <c r="G741" t="s">
        <v>35</v>
      </c>
      <c r="H741" s="4">
        <v>29</v>
      </c>
      <c r="I741" t="str">
        <f t="shared" si="11"/>
        <v>Macrodon ancylodonBangamary</v>
      </c>
    </row>
    <row r="742" spans="1:9" x14ac:dyDescent="0.35">
      <c r="A742">
        <v>18</v>
      </c>
      <c r="B742">
        <v>2016</v>
      </c>
      <c r="C742">
        <v>10</v>
      </c>
      <c r="D742" t="s">
        <v>175</v>
      </c>
      <c r="E742" t="s">
        <v>348</v>
      </c>
      <c r="F742" t="s">
        <v>40</v>
      </c>
      <c r="G742" t="s">
        <v>35</v>
      </c>
      <c r="H742" s="4">
        <v>30</v>
      </c>
      <c r="I742" t="str">
        <f t="shared" si="11"/>
        <v>Macrodon ancylodonBangamary</v>
      </c>
    </row>
    <row r="743" spans="1:9" x14ac:dyDescent="0.35">
      <c r="A743">
        <v>18</v>
      </c>
      <c r="B743">
        <v>2016</v>
      </c>
      <c r="C743">
        <v>10</v>
      </c>
      <c r="D743" t="s">
        <v>175</v>
      </c>
      <c r="E743" t="s">
        <v>348</v>
      </c>
      <c r="F743" t="s">
        <v>40</v>
      </c>
      <c r="G743" t="s">
        <v>35</v>
      </c>
      <c r="H743" s="4">
        <v>24</v>
      </c>
      <c r="I743" t="str">
        <f t="shared" si="11"/>
        <v>Macrodon ancylodonBangamary</v>
      </c>
    </row>
    <row r="744" spans="1:9" x14ac:dyDescent="0.35">
      <c r="A744">
        <v>18</v>
      </c>
      <c r="B744">
        <v>2016</v>
      </c>
      <c r="C744">
        <v>10</v>
      </c>
      <c r="D744" t="s">
        <v>175</v>
      </c>
      <c r="E744" t="s">
        <v>348</v>
      </c>
      <c r="F744" t="s">
        <v>40</v>
      </c>
      <c r="G744" t="s">
        <v>35</v>
      </c>
      <c r="H744" s="4">
        <v>25</v>
      </c>
      <c r="I744" t="str">
        <f t="shared" si="11"/>
        <v>Macrodon ancylodonBangamary</v>
      </c>
    </row>
    <row r="745" spans="1:9" x14ac:dyDescent="0.35">
      <c r="A745">
        <v>18</v>
      </c>
      <c r="B745">
        <v>2016</v>
      </c>
      <c r="C745">
        <v>10</v>
      </c>
      <c r="D745" t="s">
        <v>175</v>
      </c>
      <c r="E745" t="s">
        <v>348</v>
      </c>
      <c r="F745" t="s">
        <v>40</v>
      </c>
      <c r="G745" t="s">
        <v>35</v>
      </c>
      <c r="H745" s="4">
        <v>27</v>
      </c>
      <c r="I745" t="str">
        <f t="shared" si="11"/>
        <v>Macrodon ancylodonBangamary</v>
      </c>
    </row>
    <row r="746" spans="1:9" x14ac:dyDescent="0.35">
      <c r="A746">
        <v>18</v>
      </c>
      <c r="B746">
        <v>2016</v>
      </c>
      <c r="C746">
        <v>10</v>
      </c>
      <c r="D746" t="s">
        <v>175</v>
      </c>
      <c r="E746" t="s">
        <v>348</v>
      </c>
      <c r="F746" t="s">
        <v>40</v>
      </c>
      <c r="G746" t="s">
        <v>35</v>
      </c>
      <c r="H746" s="4">
        <v>27</v>
      </c>
      <c r="I746" t="str">
        <f t="shared" si="11"/>
        <v>Macrodon ancylodonBangamary</v>
      </c>
    </row>
    <row r="747" spans="1:9" x14ac:dyDescent="0.35">
      <c r="A747">
        <v>18</v>
      </c>
      <c r="B747">
        <v>2016</v>
      </c>
      <c r="C747">
        <v>10</v>
      </c>
      <c r="D747" t="s">
        <v>175</v>
      </c>
      <c r="E747" t="s">
        <v>348</v>
      </c>
      <c r="F747" t="s">
        <v>40</v>
      </c>
      <c r="G747" t="s">
        <v>35</v>
      </c>
      <c r="H747" s="4">
        <v>24</v>
      </c>
      <c r="I747" t="str">
        <f t="shared" si="11"/>
        <v>Macrodon ancylodonBangamary</v>
      </c>
    </row>
    <row r="748" spans="1:9" x14ac:dyDescent="0.35">
      <c r="A748">
        <v>18</v>
      </c>
      <c r="B748">
        <v>2016</v>
      </c>
      <c r="C748">
        <v>10</v>
      </c>
      <c r="D748" t="s">
        <v>175</v>
      </c>
      <c r="E748" t="s">
        <v>348</v>
      </c>
      <c r="F748" t="s">
        <v>40</v>
      </c>
      <c r="G748" t="s">
        <v>35</v>
      </c>
      <c r="H748" s="4">
        <v>23</v>
      </c>
      <c r="I748" t="str">
        <f t="shared" si="11"/>
        <v>Macrodon ancylodonBangamary</v>
      </c>
    </row>
    <row r="749" spans="1:9" x14ac:dyDescent="0.35">
      <c r="A749">
        <v>18</v>
      </c>
      <c r="B749">
        <v>2016</v>
      </c>
      <c r="C749">
        <v>10</v>
      </c>
      <c r="D749" t="s">
        <v>175</v>
      </c>
      <c r="E749" t="s">
        <v>348</v>
      </c>
      <c r="F749" t="s">
        <v>40</v>
      </c>
      <c r="G749" t="s">
        <v>35</v>
      </c>
      <c r="H749" s="4">
        <v>21</v>
      </c>
      <c r="I749" t="str">
        <f t="shared" si="11"/>
        <v>Macrodon ancylodonBangamary</v>
      </c>
    </row>
    <row r="750" spans="1:9" x14ac:dyDescent="0.35">
      <c r="A750">
        <v>18</v>
      </c>
      <c r="B750">
        <v>2016</v>
      </c>
      <c r="C750">
        <v>10</v>
      </c>
      <c r="D750" t="s">
        <v>175</v>
      </c>
      <c r="E750" t="s">
        <v>348</v>
      </c>
      <c r="F750" t="s">
        <v>40</v>
      </c>
      <c r="G750" t="s">
        <v>35</v>
      </c>
      <c r="H750" s="4">
        <v>25</v>
      </c>
      <c r="I750" t="str">
        <f t="shared" si="11"/>
        <v>Macrodon ancylodonBangamary</v>
      </c>
    </row>
    <row r="751" spans="1:9" x14ac:dyDescent="0.35">
      <c r="A751">
        <v>18</v>
      </c>
      <c r="B751">
        <v>2016</v>
      </c>
      <c r="C751">
        <v>10</v>
      </c>
      <c r="D751" t="s">
        <v>175</v>
      </c>
      <c r="E751" t="s">
        <v>348</v>
      </c>
      <c r="F751" t="s">
        <v>40</v>
      </c>
      <c r="G751" t="s">
        <v>35</v>
      </c>
      <c r="H751" s="4">
        <v>26</v>
      </c>
      <c r="I751" t="str">
        <f t="shared" si="11"/>
        <v>Macrodon ancylodonBangamary</v>
      </c>
    </row>
    <row r="752" spans="1:9" x14ac:dyDescent="0.35">
      <c r="A752">
        <v>18</v>
      </c>
      <c r="B752">
        <v>2016</v>
      </c>
      <c r="C752">
        <v>10</v>
      </c>
      <c r="D752" t="s">
        <v>175</v>
      </c>
      <c r="E752" t="s">
        <v>348</v>
      </c>
      <c r="F752" t="s">
        <v>40</v>
      </c>
      <c r="G752" t="s">
        <v>35</v>
      </c>
      <c r="H752" s="4">
        <v>22</v>
      </c>
      <c r="I752" t="str">
        <f t="shared" si="11"/>
        <v>Macrodon ancylodonBangamary</v>
      </c>
    </row>
    <row r="753" spans="1:9" x14ac:dyDescent="0.35">
      <c r="A753">
        <v>18</v>
      </c>
      <c r="B753">
        <v>2016</v>
      </c>
      <c r="C753">
        <v>10</v>
      </c>
      <c r="D753" t="s">
        <v>175</v>
      </c>
      <c r="E753" t="s">
        <v>348</v>
      </c>
      <c r="F753" t="s">
        <v>40</v>
      </c>
      <c r="G753" t="s">
        <v>35</v>
      </c>
      <c r="H753" s="4">
        <v>22</v>
      </c>
      <c r="I753" t="str">
        <f t="shared" si="11"/>
        <v>Macrodon ancylodonBangamary</v>
      </c>
    </row>
    <row r="754" spans="1:9" x14ac:dyDescent="0.35">
      <c r="A754">
        <v>18</v>
      </c>
      <c r="B754">
        <v>2016</v>
      </c>
      <c r="C754">
        <v>10</v>
      </c>
      <c r="D754" t="s">
        <v>175</v>
      </c>
      <c r="E754" t="s">
        <v>348</v>
      </c>
      <c r="F754" t="s">
        <v>40</v>
      </c>
      <c r="G754" t="s">
        <v>35</v>
      </c>
      <c r="H754" s="4">
        <v>23</v>
      </c>
      <c r="I754" t="str">
        <f t="shared" si="11"/>
        <v>Macrodon ancylodonBangamary</v>
      </c>
    </row>
    <row r="755" spans="1:9" x14ac:dyDescent="0.35">
      <c r="A755">
        <v>18</v>
      </c>
      <c r="B755">
        <v>2016</v>
      </c>
      <c r="C755">
        <v>10</v>
      </c>
      <c r="D755" t="s">
        <v>175</v>
      </c>
      <c r="E755" t="s">
        <v>348</v>
      </c>
      <c r="F755" t="s">
        <v>40</v>
      </c>
      <c r="G755" t="s">
        <v>35</v>
      </c>
      <c r="H755" s="4">
        <v>24</v>
      </c>
      <c r="I755" t="str">
        <f t="shared" si="11"/>
        <v>Macrodon ancylodonBangamary</v>
      </c>
    </row>
    <row r="756" spans="1:9" x14ac:dyDescent="0.35">
      <c r="A756">
        <v>18</v>
      </c>
      <c r="B756">
        <v>2016</v>
      </c>
      <c r="C756">
        <v>10</v>
      </c>
      <c r="D756" t="s">
        <v>175</v>
      </c>
      <c r="E756" t="s">
        <v>348</v>
      </c>
      <c r="F756" t="s">
        <v>40</v>
      </c>
      <c r="G756" t="s">
        <v>35</v>
      </c>
      <c r="H756" s="4">
        <v>21</v>
      </c>
      <c r="I756" t="str">
        <f t="shared" si="11"/>
        <v>Macrodon ancylodonBangamary</v>
      </c>
    </row>
    <row r="757" spans="1:9" x14ac:dyDescent="0.35">
      <c r="A757">
        <v>18</v>
      </c>
      <c r="B757">
        <v>2016</v>
      </c>
      <c r="C757">
        <v>10</v>
      </c>
      <c r="D757" t="s">
        <v>175</v>
      </c>
      <c r="E757" t="s">
        <v>348</v>
      </c>
      <c r="F757" t="s">
        <v>40</v>
      </c>
      <c r="G757" t="s">
        <v>35</v>
      </c>
      <c r="H757" s="4">
        <v>30</v>
      </c>
      <c r="I757" t="str">
        <f t="shared" si="11"/>
        <v>Macrodon ancylodonBangamary</v>
      </c>
    </row>
    <row r="758" spans="1:9" x14ac:dyDescent="0.35">
      <c r="A758">
        <v>18</v>
      </c>
      <c r="B758">
        <v>2016</v>
      </c>
      <c r="C758">
        <v>10</v>
      </c>
      <c r="D758" t="s">
        <v>175</v>
      </c>
      <c r="E758" t="s">
        <v>348</v>
      </c>
      <c r="F758" t="s">
        <v>40</v>
      </c>
      <c r="G758" t="s">
        <v>35</v>
      </c>
      <c r="H758" s="4">
        <v>21</v>
      </c>
      <c r="I758" t="str">
        <f t="shared" si="11"/>
        <v>Macrodon ancylodonBangamary</v>
      </c>
    </row>
    <row r="759" spans="1:9" x14ac:dyDescent="0.35">
      <c r="A759">
        <v>18</v>
      </c>
      <c r="B759">
        <v>2016</v>
      </c>
      <c r="C759">
        <v>10</v>
      </c>
      <c r="D759" t="s">
        <v>175</v>
      </c>
      <c r="E759" t="s">
        <v>348</v>
      </c>
      <c r="F759" t="s">
        <v>40</v>
      </c>
      <c r="G759" t="s">
        <v>35</v>
      </c>
      <c r="H759" s="4">
        <v>21</v>
      </c>
      <c r="I759" t="str">
        <f t="shared" si="11"/>
        <v>Macrodon ancylodonBangamary</v>
      </c>
    </row>
    <row r="760" spans="1:9" x14ac:dyDescent="0.35">
      <c r="A760">
        <v>18</v>
      </c>
      <c r="B760">
        <v>2016</v>
      </c>
      <c r="C760">
        <v>10</v>
      </c>
      <c r="D760" t="s">
        <v>175</v>
      </c>
      <c r="E760" t="s">
        <v>348</v>
      </c>
      <c r="F760" t="s">
        <v>40</v>
      </c>
      <c r="G760" t="s">
        <v>35</v>
      </c>
      <c r="H760" s="4">
        <v>21</v>
      </c>
      <c r="I760" t="str">
        <f t="shared" si="11"/>
        <v>Macrodon ancylodonBangamary</v>
      </c>
    </row>
    <row r="761" spans="1:9" x14ac:dyDescent="0.35">
      <c r="A761">
        <v>18</v>
      </c>
      <c r="B761">
        <v>2016</v>
      </c>
      <c r="C761">
        <v>10</v>
      </c>
      <c r="D761" t="s">
        <v>175</v>
      </c>
      <c r="E761" t="s">
        <v>348</v>
      </c>
      <c r="F761" t="s">
        <v>40</v>
      </c>
      <c r="G761" t="s">
        <v>35</v>
      </c>
      <c r="H761" s="4">
        <v>16</v>
      </c>
      <c r="I761" t="str">
        <f t="shared" si="11"/>
        <v>Macrodon ancylodonBangamary</v>
      </c>
    </row>
    <row r="762" spans="1:9" x14ac:dyDescent="0.35">
      <c r="A762">
        <v>18</v>
      </c>
      <c r="B762">
        <v>2016</v>
      </c>
      <c r="C762">
        <v>10</v>
      </c>
      <c r="D762" t="s">
        <v>175</v>
      </c>
      <c r="E762" t="s">
        <v>348</v>
      </c>
      <c r="F762" t="s">
        <v>40</v>
      </c>
      <c r="G762" t="s">
        <v>35</v>
      </c>
      <c r="H762" s="4">
        <v>14</v>
      </c>
      <c r="I762" t="str">
        <f t="shared" si="11"/>
        <v>Macrodon ancylodonBangamary</v>
      </c>
    </row>
    <row r="763" spans="1:9" x14ac:dyDescent="0.35">
      <c r="A763">
        <v>18</v>
      </c>
      <c r="B763">
        <v>2016</v>
      </c>
      <c r="C763">
        <v>10</v>
      </c>
      <c r="D763" t="s">
        <v>175</v>
      </c>
      <c r="E763" t="s">
        <v>348</v>
      </c>
      <c r="F763" t="s">
        <v>40</v>
      </c>
      <c r="G763" t="s">
        <v>35</v>
      </c>
      <c r="H763" s="4">
        <v>14</v>
      </c>
      <c r="I763" t="str">
        <f t="shared" si="11"/>
        <v>Macrodon ancylodonBangamary</v>
      </c>
    </row>
    <row r="764" spans="1:9" x14ac:dyDescent="0.35">
      <c r="A764">
        <v>18</v>
      </c>
      <c r="B764">
        <v>2016</v>
      </c>
      <c r="C764">
        <v>10</v>
      </c>
      <c r="D764" t="s">
        <v>175</v>
      </c>
      <c r="E764" t="s">
        <v>348</v>
      </c>
      <c r="F764" t="s">
        <v>40</v>
      </c>
      <c r="G764" t="s">
        <v>35</v>
      </c>
      <c r="H764" s="4">
        <v>17</v>
      </c>
      <c r="I764" t="str">
        <f t="shared" si="11"/>
        <v>Macrodon ancylodonBangamary</v>
      </c>
    </row>
    <row r="765" spans="1:9" x14ac:dyDescent="0.35">
      <c r="A765">
        <v>18</v>
      </c>
      <c r="B765">
        <v>2016</v>
      </c>
      <c r="C765">
        <v>10</v>
      </c>
      <c r="D765" t="s">
        <v>175</v>
      </c>
      <c r="E765" t="s">
        <v>348</v>
      </c>
      <c r="F765" t="s">
        <v>40</v>
      </c>
      <c r="G765" t="s">
        <v>35</v>
      </c>
      <c r="H765" s="4">
        <v>20</v>
      </c>
      <c r="I765" t="str">
        <f t="shared" si="11"/>
        <v>Macrodon ancylodonBangamary</v>
      </c>
    </row>
    <row r="766" spans="1:9" x14ac:dyDescent="0.35">
      <c r="A766">
        <v>18</v>
      </c>
      <c r="B766">
        <v>2016</v>
      </c>
      <c r="C766">
        <v>10</v>
      </c>
      <c r="D766" t="s">
        <v>175</v>
      </c>
      <c r="E766" t="s">
        <v>348</v>
      </c>
      <c r="F766" t="s">
        <v>40</v>
      </c>
      <c r="G766" t="s">
        <v>35</v>
      </c>
      <c r="H766" s="4">
        <v>17</v>
      </c>
      <c r="I766" t="str">
        <f t="shared" si="11"/>
        <v>Macrodon ancylodonBangamary</v>
      </c>
    </row>
    <row r="767" spans="1:9" x14ac:dyDescent="0.35">
      <c r="A767">
        <v>18</v>
      </c>
      <c r="B767">
        <v>2016</v>
      </c>
      <c r="C767">
        <v>10</v>
      </c>
      <c r="D767" t="s">
        <v>175</v>
      </c>
      <c r="E767" t="s">
        <v>348</v>
      </c>
      <c r="F767" t="s">
        <v>40</v>
      </c>
      <c r="G767" t="s">
        <v>35</v>
      </c>
      <c r="H767" s="4">
        <v>12</v>
      </c>
      <c r="I767" t="str">
        <f t="shared" si="11"/>
        <v>Macrodon ancylodonBangamary</v>
      </c>
    </row>
    <row r="768" spans="1:9" x14ac:dyDescent="0.35">
      <c r="A768">
        <v>18</v>
      </c>
      <c r="B768">
        <v>2016</v>
      </c>
      <c r="C768">
        <v>10</v>
      </c>
      <c r="D768" t="s">
        <v>175</v>
      </c>
      <c r="E768" t="s">
        <v>348</v>
      </c>
      <c r="F768" t="s">
        <v>40</v>
      </c>
      <c r="G768" t="s">
        <v>35</v>
      </c>
      <c r="H768" s="4">
        <v>18</v>
      </c>
      <c r="I768" t="str">
        <f t="shared" si="11"/>
        <v>Macrodon ancylodonBangamary</v>
      </c>
    </row>
    <row r="769" spans="1:9" x14ac:dyDescent="0.35">
      <c r="A769">
        <v>18</v>
      </c>
      <c r="B769">
        <v>2016</v>
      </c>
      <c r="C769">
        <v>10</v>
      </c>
      <c r="D769" t="s">
        <v>175</v>
      </c>
      <c r="E769" t="s">
        <v>348</v>
      </c>
      <c r="F769" t="s">
        <v>40</v>
      </c>
      <c r="G769" t="s">
        <v>35</v>
      </c>
      <c r="H769" s="4">
        <v>12</v>
      </c>
      <c r="I769" t="str">
        <f t="shared" si="11"/>
        <v>Macrodon ancylodonBangamary</v>
      </c>
    </row>
    <row r="770" spans="1:9" x14ac:dyDescent="0.35">
      <c r="A770">
        <v>18</v>
      </c>
      <c r="B770">
        <v>2016</v>
      </c>
      <c r="C770">
        <v>10</v>
      </c>
      <c r="D770" t="s">
        <v>175</v>
      </c>
      <c r="E770" t="s">
        <v>348</v>
      </c>
      <c r="F770" t="s">
        <v>40</v>
      </c>
      <c r="G770" t="s">
        <v>35</v>
      </c>
      <c r="H770" s="4">
        <v>12</v>
      </c>
      <c r="I770" t="str">
        <f t="shared" ref="I770:I833" si="12">CONCATENATE(F770,G770)</f>
        <v>Macrodon ancylodonBangamary</v>
      </c>
    </row>
    <row r="771" spans="1:9" x14ac:dyDescent="0.35">
      <c r="A771">
        <v>18</v>
      </c>
      <c r="B771">
        <v>2016</v>
      </c>
      <c r="C771">
        <v>10</v>
      </c>
      <c r="D771" t="s">
        <v>175</v>
      </c>
      <c r="E771" t="s">
        <v>348</v>
      </c>
      <c r="F771" t="s">
        <v>15</v>
      </c>
      <c r="G771" t="s">
        <v>16</v>
      </c>
      <c r="H771" s="4">
        <v>32</v>
      </c>
      <c r="I771" t="str">
        <f t="shared" si="12"/>
        <v>Nebris micropsButterfish</v>
      </c>
    </row>
    <row r="772" spans="1:9" x14ac:dyDescent="0.35">
      <c r="A772">
        <v>18</v>
      </c>
      <c r="B772">
        <v>2016</v>
      </c>
      <c r="C772">
        <v>10</v>
      </c>
      <c r="D772" t="s">
        <v>175</v>
      </c>
      <c r="E772" t="s">
        <v>348</v>
      </c>
      <c r="F772" t="s">
        <v>15</v>
      </c>
      <c r="G772" t="s">
        <v>16</v>
      </c>
      <c r="H772" s="4">
        <v>35</v>
      </c>
      <c r="I772" t="str">
        <f t="shared" si="12"/>
        <v>Nebris micropsButterfish</v>
      </c>
    </row>
    <row r="773" spans="1:9" x14ac:dyDescent="0.35">
      <c r="A773">
        <v>18</v>
      </c>
      <c r="B773">
        <v>2016</v>
      </c>
      <c r="C773">
        <v>10</v>
      </c>
      <c r="D773" t="s">
        <v>175</v>
      </c>
      <c r="E773" t="s">
        <v>348</v>
      </c>
      <c r="F773" t="s">
        <v>15</v>
      </c>
      <c r="G773" t="s">
        <v>16</v>
      </c>
      <c r="H773" s="4">
        <v>34</v>
      </c>
      <c r="I773" t="str">
        <f t="shared" si="12"/>
        <v>Nebris micropsButterfish</v>
      </c>
    </row>
    <row r="774" spans="1:9" x14ac:dyDescent="0.35">
      <c r="A774">
        <v>18</v>
      </c>
      <c r="B774">
        <v>2016</v>
      </c>
      <c r="C774">
        <v>10</v>
      </c>
      <c r="D774" t="s">
        <v>175</v>
      </c>
      <c r="E774" t="s">
        <v>348</v>
      </c>
      <c r="F774" t="s">
        <v>15</v>
      </c>
      <c r="G774" t="s">
        <v>16</v>
      </c>
      <c r="H774" s="4">
        <v>27</v>
      </c>
      <c r="I774" t="str">
        <f t="shared" si="12"/>
        <v>Nebris micropsButterfish</v>
      </c>
    </row>
    <row r="775" spans="1:9" x14ac:dyDescent="0.35">
      <c r="A775">
        <v>18</v>
      </c>
      <c r="B775">
        <v>2016</v>
      </c>
      <c r="C775">
        <v>10</v>
      </c>
      <c r="D775" t="s">
        <v>175</v>
      </c>
      <c r="E775" t="s">
        <v>348</v>
      </c>
      <c r="F775" t="s">
        <v>15</v>
      </c>
      <c r="G775" t="s">
        <v>16</v>
      </c>
      <c r="H775" s="4">
        <v>32</v>
      </c>
      <c r="I775" t="str">
        <f t="shared" si="12"/>
        <v>Nebris micropsButterfish</v>
      </c>
    </row>
    <row r="776" spans="1:9" x14ac:dyDescent="0.35">
      <c r="A776">
        <v>18</v>
      </c>
      <c r="B776">
        <v>2016</v>
      </c>
      <c r="C776">
        <v>10</v>
      </c>
      <c r="D776" t="s">
        <v>175</v>
      </c>
      <c r="E776" t="s">
        <v>348</v>
      </c>
      <c r="F776" t="s">
        <v>15</v>
      </c>
      <c r="G776" t="s">
        <v>16</v>
      </c>
      <c r="H776" s="4">
        <v>28</v>
      </c>
      <c r="I776" t="str">
        <f t="shared" si="12"/>
        <v>Nebris micropsButterfish</v>
      </c>
    </row>
    <row r="777" spans="1:9" x14ac:dyDescent="0.35">
      <c r="A777">
        <v>18</v>
      </c>
      <c r="B777">
        <v>2016</v>
      </c>
      <c r="C777">
        <v>10</v>
      </c>
      <c r="D777" t="s">
        <v>175</v>
      </c>
      <c r="E777" t="s">
        <v>348</v>
      </c>
      <c r="F777" t="s">
        <v>15</v>
      </c>
      <c r="G777" t="s">
        <v>16</v>
      </c>
      <c r="H777" s="4">
        <v>28</v>
      </c>
      <c r="I777" t="str">
        <f t="shared" si="12"/>
        <v>Nebris micropsButterfish</v>
      </c>
    </row>
    <row r="778" spans="1:9" x14ac:dyDescent="0.35">
      <c r="A778">
        <v>18</v>
      </c>
      <c r="B778">
        <v>2016</v>
      </c>
      <c r="C778">
        <v>10</v>
      </c>
      <c r="D778" t="s">
        <v>175</v>
      </c>
      <c r="E778" t="s">
        <v>348</v>
      </c>
      <c r="F778" t="s">
        <v>15</v>
      </c>
      <c r="G778" t="s">
        <v>16</v>
      </c>
      <c r="H778" s="4">
        <v>27</v>
      </c>
      <c r="I778" t="str">
        <f t="shared" si="12"/>
        <v>Nebris micropsButterfish</v>
      </c>
    </row>
    <row r="779" spans="1:9" x14ac:dyDescent="0.35">
      <c r="A779">
        <v>18</v>
      </c>
      <c r="B779">
        <v>2016</v>
      </c>
      <c r="C779">
        <v>10</v>
      </c>
      <c r="D779" t="s">
        <v>175</v>
      </c>
      <c r="E779" t="s">
        <v>348</v>
      </c>
      <c r="F779" t="s">
        <v>15</v>
      </c>
      <c r="G779" t="s">
        <v>16</v>
      </c>
      <c r="H779" s="4">
        <v>21</v>
      </c>
      <c r="I779" t="str">
        <f t="shared" si="12"/>
        <v>Nebris micropsButterfish</v>
      </c>
    </row>
    <row r="780" spans="1:9" x14ac:dyDescent="0.35">
      <c r="A780">
        <v>18</v>
      </c>
      <c r="B780">
        <v>2016</v>
      </c>
      <c r="C780">
        <v>10</v>
      </c>
      <c r="D780" t="s">
        <v>175</v>
      </c>
      <c r="E780" t="s">
        <v>348</v>
      </c>
      <c r="F780" t="s">
        <v>15</v>
      </c>
      <c r="G780" t="s">
        <v>16</v>
      </c>
      <c r="H780" s="4">
        <v>32</v>
      </c>
      <c r="I780" t="str">
        <f t="shared" si="12"/>
        <v>Nebris micropsButterfish</v>
      </c>
    </row>
    <row r="781" spans="1:9" x14ac:dyDescent="0.35">
      <c r="A781">
        <v>18</v>
      </c>
      <c r="B781">
        <v>2016</v>
      </c>
      <c r="C781">
        <v>10</v>
      </c>
      <c r="D781" t="s">
        <v>175</v>
      </c>
      <c r="E781" t="s">
        <v>348</v>
      </c>
      <c r="F781" t="s">
        <v>15</v>
      </c>
      <c r="G781" t="s">
        <v>16</v>
      </c>
      <c r="H781" s="4">
        <v>25</v>
      </c>
      <c r="I781" t="str">
        <f t="shared" si="12"/>
        <v>Nebris micropsButterfish</v>
      </c>
    </row>
    <row r="782" spans="1:9" x14ac:dyDescent="0.35">
      <c r="A782">
        <v>18</v>
      </c>
      <c r="B782">
        <v>2016</v>
      </c>
      <c r="C782">
        <v>10</v>
      </c>
      <c r="D782" t="s">
        <v>175</v>
      </c>
      <c r="E782" t="s">
        <v>348</v>
      </c>
      <c r="F782" t="s">
        <v>15</v>
      </c>
      <c r="G782" t="s">
        <v>16</v>
      </c>
      <c r="H782" s="4">
        <v>21</v>
      </c>
      <c r="I782" t="str">
        <f t="shared" si="12"/>
        <v>Nebris micropsButterfish</v>
      </c>
    </row>
    <row r="783" spans="1:9" x14ac:dyDescent="0.35">
      <c r="A783">
        <v>18</v>
      </c>
      <c r="B783">
        <v>2016</v>
      </c>
      <c r="C783">
        <v>10</v>
      </c>
      <c r="D783" t="s">
        <v>175</v>
      </c>
      <c r="E783" t="s">
        <v>348</v>
      </c>
      <c r="F783" t="s">
        <v>15</v>
      </c>
      <c r="G783" t="s">
        <v>16</v>
      </c>
      <c r="H783" s="4">
        <v>24</v>
      </c>
      <c r="I783" t="str">
        <f t="shared" si="12"/>
        <v>Nebris micropsButterfish</v>
      </c>
    </row>
    <row r="784" spans="1:9" x14ac:dyDescent="0.35">
      <c r="A784">
        <v>18</v>
      </c>
      <c r="B784">
        <v>2016</v>
      </c>
      <c r="C784">
        <v>10</v>
      </c>
      <c r="D784" t="s">
        <v>175</v>
      </c>
      <c r="E784" t="s">
        <v>348</v>
      </c>
      <c r="F784" t="s">
        <v>15</v>
      </c>
      <c r="G784" t="s">
        <v>16</v>
      </c>
      <c r="H784" s="4">
        <v>23</v>
      </c>
      <c r="I784" t="str">
        <f t="shared" si="12"/>
        <v>Nebris micropsButterfish</v>
      </c>
    </row>
    <row r="785" spans="1:9" x14ac:dyDescent="0.35">
      <c r="A785">
        <v>18</v>
      </c>
      <c r="B785">
        <v>2016</v>
      </c>
      <c r="C785">
        <v>10</v>
      </c>
      <c r="D785" t="s">
        <v>175</v>
      </c>
      <c r="E785" t="s">
        <v>348</v>
      </c>
      <c r="F785" t="s">
        <v>15</v>
      </c>
      <c r="G785" t="s">
        <v>16</v>
      </c>
      <c r="H785" s="4">
        <v>24</v>
      </c>
      <c r="I785" t="str">
        <f t="shared" si="12"/>
        <v>Nebris micropsButterfish</v>
      </c>
    </row>
    <row r="786" spans="1:9" x14ac:dyDescent="0.35">
      <c r="A786">
        <v>18</v>
      </c>
      <c r="B786">
        <v>2016</v>
      </c>
      <c r="C786">
        <v>10</v>
      </c>
      <c r="D786" t="s">
        <v>175</v>
      </c>
      <c r="E786" t="s">
        <v>348</v>
      </c>
      <c r="F786" t="s">
        <v>15</v>
      </c>
      <c r="G786" t="s">
        <v>16</v>
      </c>
      <c r="H786" s="4">
        <v>23</v>
      </c>
      <c r="I786" t="str">
        <f t="shared" si="12"/>
        <v>Nebris micropsButterfish</v>
      </c>
    </row>
    <row r="787" spans="1:9" x14ac:dyDescent="0.35">
      <c r="A787">
        <v>18</v>
      </c>
      <c r="B787">
        <v>2016</v>
      </c>
      <c r="C787">
        <v>10</v>
      </c>
      <c r="D787" t="s">
        <v>175</v>
      </c>
      <c r="E787" t="s">
        <v>348</v>
      </c>
      <c r="F787" t="s">
        <v>15</v>
      </c>
      <c r="G787" t="s">
        <v>16</v>
      </c>
      <c r="H787" s="4">
        <v>25</v>
      </c>
      <c r="I787" t="str">
        <f t="shared" si="12"/>
        <v>Nebris micropsButterfish</v>
      </c>
    </row>
    <row r="788" spans="1:9" x14ac:dyDescent="0.35">
      <c r="A788">
        <v>18</v>
      </c>
      <c r="B788">
        <v>2016</v>
      </c>
      <c r="C788">
        <v>10</v>
      </c>
      <c r="D788" t="s">
        <v>175</v>
      </c>
      <c r="E788" t="s">
        <v>348</v>
      </c>
      <c r="F788" t="s">
        <v>15</v>
      </c>
      <c r="G788" t="s">
        <v>16</v>
      </c>
      <c r="H788" s="4">
        <v>24</v>
      </c>
      <c r="I788" t="str">
        <f t="shared" si="12"/>
        <v>Nebris micropsButterfish</v>
      </c>
    </row>
    <row r="789" spans="1:9" x14ac:dyDescent="0.35">
      <c r="A789">
        <v>18</v>
      </c>
      <c r="B789">
        <v>2016</v>
      </c>
      <c r="C789">
        <v>10</v>
      </c>
      <c r="D789" t="s">
        <v>175</v>
      </c>
      <c r="E789" t="s">
        <v>348</v>
      </c>
      <c r="F789" t="s">
        <v>15</v>
      </c>
      <c r="G789" t="s">
        <v>16</v>
      </c>
      <c r="H789" s="4">
        <v>16</v>
      </c>
      <c r="I789" t="str">
        <f t="shared" si="12"/>
        <v>Nebris micropsButterfish</v>
      </c>
    </row>
    <row r="790" spans="1:9" x14ac:dyDescent="0.35">
      <c r="A790">
        <v>18</v>
      </c>
      <c r="B790">
        <v>2016</v>
      </c>
      <c r="C790">
        <v>10</v>
      </c>
      <c r="D790" t="s">
        <v>175</v>
      </c>
      <c r="E790" t="s">
        <v>348</v>
      </c>
      <c r="F790" t="s">
        <v>15</v>
      </c>
      <c r="G790" t="s">
        <v>16</v>
      </c>
      <c r="H790" s="4">
        <v>24</v>
      </c>
      <c r="I790" t="str">
        <f t="shared" si="12"/>
        <v>Nebris micropsButterfish</v>
      </c>
    </row>
    <row r="791" spans="1:9" x14ac:dyDescent="0.35">
      <c r="A791">
        <v>18</v>
      </c>
      <c r="B791">
        <v>2016</v>
      </c>
      <c r="C791">
        <v>10</v>
      </c>
      <c r="D791" t="s">
        <v>175</v>
      </c>
      <c r="E791" t="s">
        <v>348</v>
      </c>
      <c r="F791" t="s">
        <v>15</v>
      </c>
      <c r="G791" t="s">
        <v>16</v>
      </c>
      <c r="H791" s="4">
        <v>17</v>
      </c>
      <c r="I791" t="str">
        <f t="shared" si="12"/>
        <v>Nebris micropsButterfish</v>
      </c>
    </row>
    <row r="792" spans="1:9" x14ac:dyDescent="0.35">
      <c r="A792">
        <v>18</v>
      </c>
      <c r="B792">
        <v>2016</v>
      </c>
      <c r="C792">
        <v>10</v>
      </c>
      <c r="D792" t="s">
        <v>175</v>
      </c>
      <c r="E792" t="s">
        <v>348</v>
      </c>
      <c r="F792" t="s">
        <v>15</v>
      </c>
      <c r="G792" t="s">
        <v>16</v>
      </c>
      <c r="H792" s="4">
        <v>18</v>
      </c>
      <c r="I792" t="str">
        <f t="shared" si="12"/>
        <v>Nebris micropsButterfish</v>
      </c>
    </row>
    <row r="793" spans="1:9" x14ac:dyDescent="0.35">
      <c r="A793">
        <v>18</v>
      </c>
      <c r="B793">
        <v>2016</v>
      </c>
      <c r="C793">
        <v>10</v>
      </c>
      <c r="D793" t="s">
        <v>175</v>
      </c>
      <c r="E793" t="s">
        <v>348</v>
      </c>
      <c r="F793" t="s">
        <v>15</v>
      </c>
      <c r="G793" t="s">
        <v>16</v>
      </c>
      <c r="H793" s="4">
        <v>16</v>
      </c>
      <c r="I793" t="str">
        <f t="shared" si="12"/>
        <v>Nebris micropsButterfish</v>
      </c>
    </row>
    <row r="794" spans="1:9" x14ac:dyDescent="0.35">
      <c r="A794">
        <v>18</v>
      </c>
      <c r="B794">
        <v>2016</v>
      </c>
      <c r="C794">
        <v>10</v>
      </c>
      <c r="D794" t="s">
        <v>175</v>
      </c>
      <c r="E794" t="s">
        <v>348</v>
      </c>
      <c r="F794" t="s">
        <v>15</v>
      </c>
      <c r="G794" t="s">
        <v>16</v>
      </c>
      <c r="H794" s="4">
        <v>14</v>
      </c>
      <c r="I794" t="str">
        <f t="shared" si="12"/>
        <v>Nebris micropsButterfish</v>
      </c>
    </row>
    <row r="795" spans="1:9" x14ac:dyDescent="0.35">
      <c r="A795">
        <v>18</v>
      </c>
      <c r="B795">
        <v>2016</v>
      </c>
      <c r="C795">
        <v>10</v>
      </c>
      <c r="D795" t="s">
        <v>175</v>
      </c>
      <c r="E795" t="s">
        <v>348</v>
      </c>
      <c r="F795" t="s">
        <v>15</v>
      </c>
      <c r="G795" t="s">
        <v>16</v>
      </c>
      <c r="H795" s="4">
        <v>16</v>
      </c>
      <c r="I795" t="str">
        <f t="shared" si="12"/>
        <v>Nebris micropsButterfish</v>
      </c>
    </row>
    <row r="796" spans="1:9" x14ac:dyDescent="0.35">
      <c r="A796">
        <v>18</v>
      </c>
      <c r="B796">
        <v>2016</v>
      </c>
      <c r="C796">
        <v>10</v>
      </c>
      <c r="D796" t="s">
        <v>175</v>
      </c>
      <c r="E796" t="s">
        <v>348</v>
      </c>
      <c r="F796" t="s">
        <v>15</v>
      </c>
      <c r="G796" t="s">
        <v>16</v>
      </c>
      <c r="H796" s="4">
        <v>14</v>
      </c>
      <c r="I796" t="str">
        <f t="shared" si="12"/>
        <v>Nebris micropsButterfish</v>
      </c>
    </row>
    <row r="797" spans="1:9" x14ac:dyDescent="0.35">
      <c r="A797">
        <v>18</v>
      </c>
      <c r="B797">
        <v>2016</v>
      </c>
      <c r="C797">
        <v>10</v>
      </c>
      <c r="D797" t="s">
        <v>175</v>
      </c>
      <c r="E797" t="s">
        <v>348</v>
      </c>
      <c r="F797" t="s">
        <v>15</v>
      </c>
      <c r="G797" t="s">
        <v>16</v>
      </c>
      <c r="H797" s="4">
        <v>14</v>
      </c>
      <c r="I797" t="str">
        <f t="shared" si="12"/>
        <v>Nebris micropsButterfish</v>
      </c>
    </row>
    <row r="798" spans="1:9" x14ac:dyDescent="0.35">
      <c r="A798">
        <v>18</v>
      </c>
      <c r="B798">
        <v>2016</v>
      </c>
      <c r="C798">
        <v>10</v>
      </c>
      <c r="D798" t="s">
        <v>175</v>
      </c>
      <c r="E798" t="s">
        <v>348</v>
      </c>
      <c r="F798" t="s">
        <v>15</v>
      </c>
      <c r="G798" t="s">
        <v>16</v>
      </c>
      <c r="H798" s="4">
        <v>14</v>
      </c>
      <c r="I798" t="str">
        <f t="shared" si="12"/>
        <v>Nebris micropsButterfish</v>
      </c>
    </row>
    <row r="799" spans="1:9" x14ac:dyDescent="0.35">
      <c r="A799">
        <v>18</v>
      </c>
      <c r="B799">
        <v>2016</v>
      </c>
      <c r="C799">
        <v>10</v>
      </c>
      <c r="D799" t="s">
        <v>175</v>
      </c>
      <c r="E799" t="s">
        <v>348</v>
      </c>
      <c r="F799" t="s">
        <v>15</v>
      </c>
      <c r="G799" t="s">
        <v>16</v>
      </c>
      <c r="H799" s="4">
        <v>13</v>
      </c>
      <c r="I799" t="str">
        <f t="shared" si="12"/>
        <v>Nebris micropsButterfish</v>
      </c>
    </row>
    <row r="800" spans="1:9" x14ac:dyDescent="0.35">
      <c r="A800">
        <v>18</v>
      </c>
      <c r="B800">
        <v>2016</v>
      </c>
      <c r="C800">
        <v>10</v>
      </c>
      <c r="D800" t="s">
        <v>175</v>
      </c>
      <c r="E800" t="s">
        <v>348</v>
      </c>
      <c r="F800" t="s">
        <v>15</v>
      </c>
      <c r="G800" t="s">
        <v>16</v>
      </c>
      <c r="H800" s="4">
        <v>14</v>
      </c>
      <c r="I800" t="str">
        <f t="shared" si="12"/>
        <v>Nebris micropsButterfish</v>
      </c>
    </row>
    <row r="801" spans="1:9" x14ac:dyDescent="0.35">
      <c r="A801">
        <v>18</v>
      </c>
      <c r="B801">
        <v>2016</v>
      </c>
      <c r="C801">
        <v>10</v>
      </c>
      <c r="D801" t="s">
        <v>175</v>
      </c>
      <c r="E801" t="s">
        <v>348</v>
      </c>
      <c r="F801" t="s">
        <v>21</v>
      </c>
      <c r="G801" t="s">
        <v>59</v>
      </c>
      <c r="H801" s="4">
        <v>12</v>
      </c>
      <c r="I801" t="str">
        <f t="shared" si="12"/>
        <v>Stellifer micropsRockhead</v>
      </c>
    </row>
    <row r="802" spans="1:9" x14ac:dyDescent="0.35">
      <c r="A802">
        <v>18</v>
      </c>
      <c r="B802">
        <v>2016</v>
      </c>
      <c r="C802">
        <v>10</v>
      </c>
      <c r="D802" t="s">
        <v>175</v>
      </c>
      <c r="E802" t="s">
        <v>348</v>
      </c>
      <c r="F802" t="s">
        <v>21</v>
      </c>
      <c r="G802" t="s">
        <v>59</v>
      </c>
      <c r="H802" s="4">
        <v>13</v>
      </c>
      <c r="I802" t="str">
        <f t="shared" si="12"/>
        <v>Stellifer micropsRockhead</v>
      </c>
    </row>
    <row r="803" spans="1:9" x14ac:dyDescent="0.35">
      <c r="A803">
        <v>18</v>
      </c>
      <c r="B803">
        <v>2016</v>
      </c>
      <c r="C803">
        <v>10</v>
      </c>
      <c r="D803" t="s">
        <v>175</v>
      </c>
      <c r="E803" t="s">
        <v>348</v>
      </c>
      <c r="F803" t="s">
        <v>21</v>
      </c>
      <c r="G803" t="s">
        <v>59</v>
      </c>
      <c r="H803" s="4">
        <v>14</v>
      </c>
      <c r="I803" t="str">
        <f t="shared" si="12"/>
        <v>Stellifer micropsRockhead</v>
      </c>
    </row>
    <row r="804" spans="1:9" x14ac:dyDescent="0.35">
      <c r="A804">
        <v>18</v>
      </c>
      <c r="B804">
        <v>2016</v>
      </c>
      <c r="C804">
        <v>10</v>
      </c>
      <c r="D804" t="s">
        <v>175</v>
      </c>
      <c r="E804" t="s">
        <v>348</v>
      </c>
      <c r="F804" t="s">
        <v>21</v>
      </c>
      <c r="G804" t="s">
        <v>59</v>
      </c>
      <c r="H804" s="4">
        <v>14</v>
      </c>
      <c r="I804" t="str">
        <f t="shared" si="12"/>
        <v>Stellifer micropsRockhead</v>
      </c>
    </row>
    <row r="805" spans="1:9" x14ac:dyDescent="0.35">
      <c r="A805">
        <v>18</v>
      </c>
      <c r="B805">
        <v>2016</v>
      </c>
      <c r="C805">
        <v>10</v>
      </c>
      <c r="D805" t="s">
        <v>175</v>
      </c>
      <c r="E805" t="s">
        <v>348</v>
      </c>
      <c r="F805" t="s">
        <v>21</v>
      </c>
      <c r="G805" t="s">
        <v>59</v>
      </c>
      <c r="H805" s="4">
        <v>14</v>
      </c>
      <c r="I805" t="str">
        <f t="shared" si="12"/>
        <v>Stellifer micropsRockhead</v>
      </c>
    </row>
    <row r="806" spans="1:9" x14ac:dyDescent="0.35">
      <c r="A806">
        <v>18</v>
      </c>
      <c r="B806">
        <v>2016</v>
      </c>
      <c r="C806">
        <v>10</v>
      </c>
      <c r="D806" t="s">
        <v>175</v>
      </c>
      <c r="E806" t="s">
        <v>348</v>
      </c>
      <c r="F806" t="s">
        <v>21</v>
      </c>
      <c r="G806" t="s">
        <v>59</v>
      </c>
      <c r="H806" s="4">
        <v>18</v>
      </c>
      <c r="I806" t="str">
        <f t="shared" si="12"/>
        <v>Stellifer micropsRockhead</v>
      </c>
    </row>
    <row r="807" spans="1:9" x14ac:dyDescent="0.35">
      <c r="A807">
        <v>18</v>
      </c>
      <c r="B807">
        <v>2016</v>
      </c>
      <c r="C807">
        <v>10</v>
      </c>
      <c r="D807" t="s">
        <v>175</v>
      </c>
      <c r="E807" t="s">
        <v>348</v>
      </c>
      <c r="F807" t="s">
        <v>21</v>
      </c>
      <c r="G807" t="s">
        <v>59</v>
      </c>
      <c r="H807" s="4">
        <v>14</v>
      </c>
      <c r="I807" t="str">
        <f t="shared" si="12"/>
        <v>Stellifer micropsRockhead</v>
      </c>
    </row>
    <row r="808" spans="1:9" x14ac:dyDescent="0.35">
      <c r="A808">
        <v>18</v>
      </c>
      <c r="B808">
        <v>2016</v>
      </c>
      <c r="C808">
        <v>10</v>
      </c>
      <c r="D808" t="s">
        <v>175</v>
      </c>
      <c r="E808" t="s">
        <v>348</v>
      </c>
      <c r="F808" t="s">
        <v>21</v>
      </c>
      <c r="G808" t="s">
        <v>59</v>
      </c>
      <c r="H808" s="4">
        <v>14</v>
      </c>
      <c r="I808" t="str">
        <f t="shared" si="12"/>
        <v>Stellifer micropsRockhead</v>
      </c>
    </row>
    <row r="809" spans="1:9" x14ac:dyDescent="0.35">
      <c r="A809">
        <v>18</v>
      </c>
      <c r="B809">
        <v>2016</v>
      </c>
      <c r="C809">
        <v>10</v>
      </c>
      <c r="D809" t="s">
        <v>175</v>
      </c>
      <c r="E809" t="s">
        <v>348</v>
      </c>
      <c r="F809" t="s">
        <v>21</v>
      </c>
      <c r="G809" t="s">
        <v>59</v>
      </c>
      <c r="H809" s="4">
        <v>14</v>
      </c>
      <c r="I809" t="str">
        <f t="shared" si="12"/>
        <v>Stellifer micropsRockhead</v>
      </c>
    </row>
    <row r="810" spans="1:9" x14ac:dyDescent="0.35">
      <c r="A810">
        <v>18</v>
      </c>
      <c r="B810">
        <v>2016</v>
      </c>
      <c r="C810">
        <v>10</v>
      </c>
      <c r="D810" t="s">
        <v>175</v>
      </c>
      <c r="E810" t="s">
        <v>348</v>
      </c>
      <c r="F810" t="s">
        <v>21</v>
      </c>
      <c r="G810" t="s">
        <v>59</v>
      </c>
      <c r="H810" s="4">
        <v>14</v>
      </c>
      <c r="I810" t="str">
        <f t="shared" si="12"/>
        <v>Stellifer micropsRockhead</v>
      </c>
    </row>
    <row r="811" spans="1:9" x14ac:dyDescent="0.35">
      <c r="A811">
        <v>18</v>
      </c>
      <c r="B811">
        <v>2016</v>
      </c>
      <c r="C811">
        <v>10</v>
      </c>
      <c r="D811" t="s">
        <v>175</v>
      </c>
      <c r="E811" t="s">
        <v>348</v>
      </c>
      <c r="F811" t="s">
        <v>21</v>
      </c>
      <c r="G811" t="s">
        <v>59</v>
      </c>
      <c r="H811" s="4">
        <v>13</v>
      </c>
      <c r="I811" t="str">
        <f t="shared" si="12"/>
        <v>Stellifer micropsRockhead</v>
      </c>
    </row>
    <row r="812" spans="1:9" x14ac:dyDescent="0.35">
      <c r="A812">
        <v>18</v>
      </c>
      <c r="B812">
        <v>2016</v>
      </c>
      <c r="C812">
        <v>10</v>
      </c>
      <c r="D812" t="s">
        <v>175</v>
      </c>
      <c r="E812" t="s">
        <v>348</v>
      </c>
      <c r="F812" t="s">
        <v>21</v>
      </c>
      <c r="G812" t="s">
        <v>59</v>
      </c>
      <c r="H812" s="4">
        <v>15</v>
      </c>
      <c r="I812" t="str">
        <f t="shared" si="12"/>
        <v>Stellifer micropsRockhead</v>
      </c>
    </row>
    <row r="813" spans="1:9" x14ac:dyDescent="0.35">
      <c r="A813">
        <v>18</v>
      </c>
      <c r="B813">
        <v>2016</v>
      </c>
      <c r="C813">
        <v>10</v>
      </c>
      <c r="D813" t="s">
        <v>175</v>
      </c>
      <c r="E813" t="s">
        <v>348</v>
      </c>
      <c r="F813" t="s">
        <v>21</v>
      </c>
      <c r="G813" t="s">
        <v>59</v>
      </c>
      <c r="H813" s="4">
        <v>13</v>
      </c>
      <c r="I813" t="str">
        <f t="shared" si="12"/>
        <v>Stellifer micropsRockhead</v>
      </c>
    </row>
    <row r="814" spans="1:9" x14ac:dyDescent="0.35">
      <c r="A814">
        <v>18</v>
      </c>
      <c r="B814">
        <v>2016</v>
      </c>
      <c r="C814">
        <v>10</v>
      </c>
      <c r="D814" t="s">
        <v>175</v>
      </c>
      <c r="E814" t="s">
        <v>348</v>
      </c>
      <c r="F814" t="s">
        <v>21</v>
      </c>
      <c r="G814" t="s">
        <v>59</v>
      </c>
      <c r="H814" s="4">
        <v>12</v>
      </c>
      <c r="I814" t="str">
        <f t="shared" si="12"/>
        <v>Stellifer micropsRockhead</v>
      </c>
    </row>
    <row r="815" spans="1:9" x14ac:dyDescent="0.35">
      <c r="A815">
        <v>18</v>
      </c>
      <c r="B815">
        <v>2016</v>
      </c>
      <c r="C815">
        <v>10</v>
      </c>
      <c r="D815" t="s">
        <v>175</v>
      </c>
      <c r="E815" t="s">
        <v>348</v>
      </c>
      <c r="F815" t="s">
        <v>21</v>
      </c>
      <c r="G815" t="s">
        <v>59</v>
      </c>
      <c r="H815" s="4">
        <v>11</v>
      </c>
      <c r="I815" t="str">
        <f t="shared" si="12"/>
        <v>Stellifer micropsRockhead</v>
      </c>
    </row>
    <row r="816" spans="1:9" x14ac:dyDescent="0.35">
      <c r="A816">
        <v>18</v>
      </c>
      <c r="B816">
        <v>2016</v>
      </c>
      <c r="C816">
        <v>10</v>
      </c>
      <c r="D816" t="s">
        <v>175</v>
      </c>
      <c r="E816" t="s">
        <v>348</v>
      </c>
      <c r="F816" t="s">
        <v>21</v>
      </c>
      <c r="G816" t="s">
        <v>59</v>
      </c>
      <c r="H816" s="4">
        <v>14</v>
      </c>
      <c r="I816" t="str">
        <f t="shared" si="12"/>
        <v>Stellifer micropsRockhead</v>
      </c>
    </row>
    <row r="817" spans="1:9" x14ac:dyDescent="0.35">
      <c r="A817">
        <v>18</v>
      </c>
      <c r="B817">
        <v>2016</v>
      </c>
      <c r="C817">
        <v>10</v>
      </c>
      <c r="D817" t="s">
        <v>175</v>
      </c>
      <c r="E817" t="s">
        <v>348</v>
      </c>
      <c r="F817" t="s">
        <v>21</v>
      </c>
      <c r="G817" t="s">
        <v>59</v>
      </c>
      <c r="H817" s="4">
        <v>13</v>
      </c>
      <c r="I817" t="str">
        <f t="shared" si="12"/>
        <v>Stellifer micropsRockhead</v>
      </c>
    </row>
    <row r="818" spans="1:9" x14ac:dyDescent="0.35">
      <c r="A818">
        <v>18</v>
      </c>
      <c r="B818">
        <v>2016</v>
      </c>
      <c r="C818">
        <v>10</v>
      </c>
      <c r="D818" t="s">
        <v>175</v>
      </c>
      <c r="E818" t="s">
        <v>348</v>
      </c>
      <c r="F818" t="s">
        <v>21</v>
      </c>
      <c r="G818" t="s">
        <v>59</v>
      </c>
      <c r="H818" s="4">
        <v>12</v>
      </c>
      <c r="I818" t="str">
        <f t="shared" si="12"/>
        <v>Stellifer micropsRockhead</v>
      </c>
    </row>
    <row r="819" spans="1:9" x14ac:dyDescent="0.35">
      <c r="A819">
        <v>18</v>
      </c>
      <c r="B819">
        <v>2016</v>
      </c>
      <c r="C819">
        <v>10</v>
      </c>
      <c r="D819" t="s">
        <v>175</v>
      </c>
      <c r="E819" t="s">
        <v>348</v>
      </c>
      <c r="F819" t="s">
        <v>21</v>
      </c>
      <c r="G819" t="s">
        <v>59</v>
      </c>
      <c r="H819" s="4">
        <v>11</v>
      </c>
      <c r="I819" t="str">
        <f t="shared" si="12"/>
        <v>Stellifer micropsRockhead</v>
      </c>
    </row>
    <row r="820" spans="1:9" x14ac:dyDescent="0.35">
      <c r="A820">
        <v>18</v>
      </c>
      <c r="B820">
        <v>2016</v>
      </c>
      <c r="C820">
        <v>10</v>
      </c>
      <c r="D820" t="s">
        <v>175</v>
      </c>
      <c r="E820" t="s">
        <v>348</v>
      </c>
      <c r="F820" t="s">
        <v>21</v>
      </c>
      <c r="G820" t="s">
        <v>59</v>
      </c>
      <c r="H820" s="4">
        <v>12</v>
      </c>
      <c r="I820" t="str">
        <f t="shared" si="12"/>
        <v>Stellifer micropsRockhead</v>
      </c>
    </row>
    <row r="821" spans="1:9" x14ac:dyDescent="0.35">
      <c r="A821">
        <v>18</v>
      </c>
      <c r="B821">
        <v>2016</v>
      </c>
      <c r="C821">
        <v>10</v>
      </c>
      <c r="D821" t="s">
        <v>175</v>
      </c>
      <c r="E821" t="s">
        <v>348</v>
      </c>
      <c r="F821" t="s">
        <v>21</v>
      </c>
      <c r="G821" t="s">
        <v>59</v>
      </c>
      <c r="H821" s="4">
        <v>12</v>
      </c>
      <c r="I821" t="str">
        <f t="shared" si="12"/>
        <v>Stellifer micropsRockhead</v>
      </c>
    </row>
    <row r="822" spans="1:9" x14ac:dyDescent="0.35">
      <c r="A822">
        <v>18</v>
      </c>
      <c r="B822">
        <v>2016</v>
      </c>
      <c r="C822">
        <v>10</v>
      </c>
      <c r="D822" t="s">
        <v>175</v>
      </c>
      <c r="E822" t="s">
        <v>348</v>
      </c>
      <c r="F822" t="s">
        <v>21</v>
      </c>
      <c r="G822" t="s">
        <v>59</v>
      </c>
      <c r="H822" s="4">
        <v>11</v>
      </c>
      <c r="I822" t="str">
        <f t="shared" si="12"/>
        <v>Stellifer micropsRockhead</v>
      </c>
    </row>
    <row r="823" spans="1:9" x14ac:dyDescent="0.35">
      <c r="A823">
        <v>18</v>
      </c>
      <c r="B823">
        <v>2016</v>
      </c>
      <c r="C823">
        <v>10</v>
      </c>
      <c r="D823" t="s">
        <v>175</v>
      </c>
      <c r="E823" t="s">
        <v>348</v>
      </c>
      <c r="F823" t="s">
        <v>21</v>
      </c>
      <c r="G823" t="s">
        <v>59</v>
      </c>
      <c r="H823" s="4">
        <v>14</v>
      </c>
      <c r="I823" t="str">
        <f t="shared" si="12"/>
        <v>Stellifer micropsRockhead</v>
      </c>
    </row>
    <row r="824" spans="1:9" x14ac:dyDescent="0.35">
      <c r="A824">
        <v>18</v>
      </c>
      <c r="B824">
        <v>2016</v>
      </c>
      <c r="C824">
        <v>10</v>
      </c>
      <c r="D824" t="s">
        <v>175</v>
      </c>
      <c r="E824" t="s">
        <v>348</v>
      </c>
      <c r="F824" t="s">
        <v>21</v>
      </c>
      <c r="G824" t="s">
        <v>59</v>
      </c>
      <c r="H824" s="4">
        <v>15</v>
      </c>
      <c r="I824" t="str">
        <f t="shared" si="12"/>
        <v>Stellifer micropsRockhead</v>
      </c>
    </row>
    <row r="825" spans="1:9" x14ac:dyDescent="0.35">
      <c r="A825">
        <v>18</v>
      </c>
      <c r="B825">
        <v>2016</v>
      </c>
      <c r="C825">
        <v>10</v>
      </c>
      <c r="D825" t="s">
        <v>175</v>
      </c>
      <c r="E825" t="s">
        <v>348</v>
      </c>
      <c r="F825" t="s">
        <v>21</v>
      </c>
      <c r="G825" t="s">
        <v>59</v>
      </c>
      <c r="H825" s="4">
        <v>12</v>
      </c>
      <c r="I825" t="str">
        <f t="shared" si="12"/>
        <v>Stellifer micropsRockhead</v>
      </c>
    </row>
    <row r="826" spans="1:9" x14ac:dyDescent="0.35">
      <c r="A826">
        <v>18</v>
      </c>
      <c r="B826">
        <v>2016</v>
      </c>
      <c r="C826">
        <v>10</v>
      </c>
      <c r="D826" t="s">
        <v>175</v>
      </c>
      <c r="E826" t="s">
        <v>348</v>
      </c>
      <c r="F826" t="s">
        <v>21</v>
      </c>
      <c r="G826" t="s">
        <v>59</v>
      </c>
      <c r="H826" s="4">
        <v>11</v>
      </c>
      <c r="I826" t="str">
        <f t="shared" si="12"/>
        <v>Stellifer micropsRockhead</v>
      </c>
    </row>
    <row r="827" spans="1:9" x14ac:dyDescent="0.35">
      <c r="A827">
        <v>18</v>
      </c>
      <c r="B827">
        <v>2016</v>
      </c>
      <c r="C827">
        <v>10</v>
      </c>
      <c r="D827" t="s">
        <v>175</v>
      </c>
      <c r="E827" t="s">
        <v>348</v>
      </c>
      <c r="F827" t="s">
        <v>21</v>
      </c>
      <c r="G827" t="s">
        <v>59</v>
      </c>
      <c r="H827" s="4">
        <v>9</v>
      </c>
      <c r="I827" t="str">
        <f t="shared" si="12"/>
        <v>Stellifer micropsRockhead</v>
      </c>
    </row>
    <row r="828" spans="1:9" x14ac:dyDescent="0.35">
      <c r="A828">
        <v>18</v>
      </c>
      <c r="B828">
        <v>2016</v>
      </c>
      <c r="C828">
        <v>10</v>
      </c>
      <c r="D828" t="s">
        <v>175</v>
      </c>
      <c r="E828" t="s">
        <v>348</v>
      </c>
      <c r="F828" t="s">
        <v>21</v>
      </c>
      <c r="G828" t="s">
        <v>59</v>
      </c>
      <c r="H828" s="4">
        <v>10</v>
      </c>
      <c r="I828" t="str">
        <f t="shared" si="12"/>
        <v>Stellifer micropsRockhead</v>
      </c>
    </row>
    <row r="829" spans="1:9" x14ac:dyDescent="0.35">
      <c r="A829">
        <v>18</v>
      </c>
      <c r="B829">
        <v>2016</v>
      </c>
      <c r="C829">
        <v>10</v>
      </c>
      <c r="D829" t="s">
        <v>175</v>
      </c>
      <c r="E829" t="s">
        <v>348</v>
      </c>
      <c r="F829" t="s">
        <v>21</v>
      </c>
      <c r="G829" t="s">
        <v>59</v>
      </c>
      <c r="H829" s="4">
        <v>9</v>
      </c>
      <c r="I829" t="str">
        <f t="shared" si="12"/>
        <v>Stellifer micropsRockhead</v>
      </c>
    </row>
    <row r="830" spans="1:9" x14ac:dyDescent="0.35">
      <c r="A830">
        <v>18</v>
      </c>
      <c r="B830">
        <v>2016</v>
      </c>
      <c r="C830">
        <v>10</v>
      </c>
      <c r="D830" t="s">
        <v>175</v>
      </c>
      <c r="E830" t="s">
        <v>348</v>
      </c>
      <c r="F830" t="s">
        <v>21</v>
      </c>
      <c r="G830" t="s">
        <v>59</v>
      </c>
      <c r="H830" s="4">
        <v>12</v>
      </c>
      <c r="I830" t="str">
        <f t="shared" si="12"/>
        <v>Stellifer micropsRockhead</v>
      </c>
    </row>
    <row r="831" spans="1:9" x14ac:dyDescent="0.35">
      <c r="A831">
        <v>18</v>
      </c>
      <c r="B831">
        <v>2016</v>
      </c>
      <c r="C831">
        <v>10</v>
      </c>
      <c r="D831" t="s">
        <v>175</v>
      </c>
      <c r="E831" t="s">
        <v>348</v>
      </c>
      <c r="F831" t="s">
        <v>21</v>
      </c>
      <c r="G831" t="s">
        <v>59</v>
      </c>
      <c r="H831" s="4">
        <v>17</v>
      </c>
      <c r="I831" t="str">
        <f t="shared" si="12"/>
        <v>Stellifer micropsRockhead</v>
      </c>
    </row>
    <row r="832" spans="1:9" x14ac:dyDescent="0.35">
      <c r="A832">
        <v>18</v>
      </c>
      <c r="B832">
        <v>2016</v>
      </c>
      <c r="C832">
        <v>10</v>
      </c>
      <c r="D832" t="s">
        <v>175</v>
      </c>
      <c r="E832" t="s">
        <v>348</v>
      </c>
      <c r="F832" t="s">
        <v>21</v>
      </c>
      <c r="G832" t="s">
        <v>59</v>
      </c>
      <c r="H832" s="4">
        <v>15</v>
      </c>
      <c r="I832" t="str">
        <f t="shared" si="12"/>
        <v>Stellifer micropsRockhead</v>
      </c>
    </row>
    <row r="833" spans="1:9" x14ac:dyDescent="0.35">
      <c r="A833">
        <v>18</v>
      </c>
      <c r="B833">
        <v>2016</v>
      </c>
      <c r="C833">
        <v>10</v>
      </c>
      <c r="D833" t="s">
        <v>175</v>
      </c>
      <c r="E833" t="s">
        <v>348</v>
      </c>
      <c r="F833" t="s">
        <v>21</v>
      </c>
      <c r="G833" t="s">
        <v>59</v>
      </c>
      <c r="H833" s="4">
        <v>17</v>
      </c>
      <c r="I833" t="str">
        <f t="shared" si="12"/>
        <v>Stellifer micropsRockhead</v>
      </c>
    </row>
    <row r="834" spans="1:9" x14ac:dyDescent="0.35">
      <c r="A834">
        <v>18</v>
      </c>
      <c r="B834">
        <v>2016</v>
      </c>
      <c r="C834">
        <v>10</v>
      </c>
      <c r="D834" t="s">
        <v>175</v>
      </c>
      <c r="E834" t="s">
        <v>348</v>
      </c>
      <c r="F834" t="s">
        <v>21</v>
      </c>
      <c r="G834" t="s">
        <v>59</v>
      </c>
      <c r="H834" s="4">
        <v>15</v>
      </c>
      <c r="I834" t="str">
        <f t="shared" ref="I834:I897" si="13">CONCATENATE(F834,G834)</f>
        <v>Stellifer micropsRockhead</v>
      </c>
    </row>
    <row r="835" spans="1:9" x14ac:dyDescent="0.35">
      <c r="A835">
        <v>18</v>
      </c>
      <c r="B835">
        <v>2016</v>
      </c>
      <c r="C835">
        <v>10</v>
      </c>
      <c r="D835" t="s">
        <v>175</v>
      </c>
      <c r="E835" t="s">
        <v>348</v>
      </c>
      <c r="F835" t="s">
        <v>21</v>
      </c>
      <c r="G835" t="s">
        <v>59</v>
      </c>
      <c r="H835" s="4">
        <v>15</v>
      </c>
      <c r="I835" t="str">
        <f t="shared" si="13"/>
        <v>Stellifer micropsRockhead</v>
      </c>
    </row>
    <row r="836" spans="1:9" x14ac:dyDescent="0.35">
      <c r="A836">
        <v>18</v>
      </c>
      <c r="B836">
        <v>2016</v>
      </c>
      <c r="C836">
        <v>10</v>
      </c>
      <c r="D836" t="s">
        <v>175</v>
      </c>
      <c r="E836" t="s">
        <v>348</v>
      </c>
      <c r="F836" t="s">
        <v>21</v>
      </c>
      <c r="G836" t="s">
        <v>59</v>
      </c>
      <c r="H836" s="4">
        <v>14</v>
      </c>
      <c r="I836" t="str">
        <f t="shared" si="13"/>
        <v>Stellifer micropsRockhead</v>
      </c>
    </row>
    <row r="837" spans="1:9" x14ac:dyDescent="0.35">
      <c r="A837">
        <v>18</v>
      </c>
      <c r="B837">
        <v>2016</v>
      </c>
      <c r="C837">
        <v>10</v>
      </c>
      <c r="D837" t="s">
        <v>175</v>
      </c>
      <c r="E837" t="s">
        <v>348</v>
      </c>
      <c r="F837" t="s">
        <v>21</v>
      </c>
      <c r="G837" t="s">
        <v>59</v>
      </c>
      <c r="H837" s="4">
        <v>15</v>
      </c>
      <c r="I837" t="str">
        <f t="shared" si="13"/>
        <v>Stellifer micropsRockhead</v>
      </c>
    </row>
    <row r="838" spans="1:9" x14ac:dyDescent="0.35">
      <c r="A838">
        <v>18</v>
      </c>
      <c r="B838">
        <v>2016</v>
      </c>
      <c r="C838">
        <v>10</v>
      </c>
      <c r="D838" t="s">
        <v>175</v>
      </c>
      <c r="E838" t="s">
        <v>348</v>
      </c>
      <c r="F838" t="s">
        <v>21</v>
      </c>
      <c r="G838" t="s">
        <v>59</v>
      </c>
      <c r="H838" s="4">
        <v>16</v>
      </c>
      <c r="I838" t="str">
        <f t="shared" si="13"/>
        <v>Stellifer micropsRockhead</v>
      </c>
    </row>
    <row r="839" spans="1:9" x14ac:dyDescent="0.35">
      <c r="A839">
        <v>18</v>
      </c>
      <c r="B839">
        <v>2016</v>
      </c>
      <c r="C839">
        <v>10</v>
      </c>
      <c r="D839" t="s">
        <v>175</v>
      </c>
      <c r="E839" t="s">
        <v>348</v>
      </c>
      <c r="F839" t="s">
        <v>21</v>
      </c>
      <c r="G839" t="s">
        <v>59</v>
      </c>
      <c r="H839" s="4">
        <v>15</v>
      </c>
      <c r="I839" t="str">
        <f t="shared" si="13"/>
        <v>Stellifer micropsRockhead</v>
      </c>
    </row>
    <row r="840" spans="1:9" x14ac:dyDescent="0.35">
      <c r="A840">
        <v>18</v>
      </c>
      <c r="B840">
        <v>2016</v>
      </c>
      <c r="C840">
        <v>10</v>
      </c>
      <c r="D840" t="s">
        <v>175</v>
      </c>
      <c r="E840" t="s">
        <v>348</v>
      </c>
      <c r="F840" t="s">
        <v>21</v>
      </c>
      <c r="G840" t="s">
        <v>59</v>
      </c>
      <c r="H840" s="4">
        <v>16</v>
      </c>
      <c r="I840" t="str">
        <f t="shared" si="13"/>
        <v>Stellifer micropsRockhead</v>
      </c>
    </row>
    <row r="841" spans="1:9" x14ac:dyDescent="0.35">
      <c r="A841">
        <v>18</v>
      </c>
      <c r="B841">
        <v>2016</v>
      </c>
      <c r="C841">
        <v>10</v>
      </c>
      <c r="D841" t="s">
        <v>175</v>
      </c>
      <c r="E841" t="s">
        <v>348</v>
      </c>
      <c r="F841" t="s">
        <v>21</v>
      </c>
      <c r="G841" t="s">
        <v>59</v>
      </c>
      <c r="H841" s="4">
        <v>13</v>
      </c>
      <c r="I841" t="str">
        <f t="shared" si="13"/>
        <v>Stellifer micropsRockhead</v>
      </c>
    </row>
    <row r="842" spans="1:9" x14ac:dyDescent="0.35">
      <c r="A842">
        <v>18</v>
      </c>
      <c r="B842">
        <v>2016</v>
      </c>
      <c r="C842">
        <v>10</v>
      </c>
      <c r="D842" t="s">
        <v>175</v>
      </c>
      <c r="E842" t="s">
        <v>348</v>
      </c>
      <c r="F842" t="s">
        <v>21</v>
      </c>
      <c r="G842" t="s">
        <v>59</v>
      </c>
      <c r="H842" s="4">
        <v>16</v>
      </c>
      <c r="I842" t="str">
        <f t="shared" si="13"/>
        <v>Stellifer micropsRockhead</v>
      </c>
    </row>
    <row r="843" spans="1:9" x14ac:dyDescent="0.35">
      <c r="A843">
        <v>18</v>
      </c>
      <c r="B843">
        <v>2016</v>
      </c>
      <c r="C843">
        <v>10</v>
      </c>
      <c r="D843" t="s">
        <v>175</v>
      </c>
      <c r="E843" t="s">
        <v>348</v>
      </c>
      <c r="F843" t="s">
        <v>21</v>
      </c>
      <c r="G843" t="s">
        <v>59</v>
      </c>
      <c r="H843" s="4">
        <v>14</v>
      </c>
      <c r="I843" t="str">
        <f t="shared" si="13"/>
        <v>Stellifer micropsRockhead</v>
      </c>
    </row>
    <row r="844" spans="1:9" x14ac:dyDescent="0.35">
      <c r="A844">
        <v>18</v>
      </c>
      <c r="B844">
        <v>2016</v>
      </c>
      <c r="C844">
        <v>10</v>
      </c>
      <c r="D844" t="s">
        <v>175</v>
      </c>
      <c r="E844" t="s">
        <v>348</v>
      </c>
      <c r="F844" t="s">
        <v>21</v>
      </c>
      <c r="G844" t="s">
        <v>59</v>
      </c>
      <c r="H844" s="4">
        <v>13</v>
      </c>
      <c r="I844" t="str">
        <f t="shared" si="13"/>
        <v>Stellifer micropsRockhead</v>
      </c>
    </row>
    <row r="845" spans="1:9" x14ac:dyDescent="0.35">
      <c r="A845">
        <v>18</v>
      </c>
      <c r="B845">
        <v>2016</v>
      </c>
      <c r="C845">
        <v>10</v>
      </c>
      <c r="D845" t="s">
        <v>175</v>
      </c>
      <c r="E845" t="s">
        <v>348</v>
      </c>
      <c r="F845" t="s">
        <v>21</v>
      </c>
      <c r="G845" t="s">
        <v>59</v>
      </c>
      <c r="H845" s="4">
        <v>12</v>
      </c>
      <c r="I845" t="str">
        <f t="shared" si="13"/>
        <v>Stellifer micropsRockhead</v>
      </c>
    </row>
    <row r="846" spans="1:9" x14ac:dyDescent="0.35">
      <c r="A846">
        <v>18</v>
      </c>
      <c r="B846">
        <v>2016</v>
      </c>
      <c r="C846">
        <v>10</v>
      </c>
      <c r="D846" t="s">
        <v>175</v>
      </c>
      <c r="E846" t="s">
        <v>348</v>
      </c>
      <c r="F846" t="s">
        <v>21</v>
      </c>
      <c r="G846" t="s">
        <v>59</v>
      </c>
      <c r="H846" s="4">
        <v>14</v>
      </c>
      <c r="I846" t="str">
        <f t="shared" si="13"/>
        <v>Stellifer micropsRockhead</v>
      </c>
    </row>
    <row r="847" spans="1:9" x14ac:dyDescent="0.35">
      <c r="A847">
        <v>18</v>
      </c>
      <c r="B847">
        <v>2016</v>
      </c>
      <c r="C847">
        <v>10</v>
      </c>
      <c r="D847" t="s">
        <v>175</v>
      </c>
      <c r="E847" t="s">
        <v>348</v>
      </c>
      <c r="F847" t="s">
        <v>21</v>
      </c>
      <c r="G847" t="s">
        <v>59</v>
      </c>
      <c r="H847" s="4">
        <v>14</v>
      </c>
      <c r="I847" t="str">
        <f t="shared" si="13"/>
        <v>Stellifer micropsRockhead</v>
      </c>
    </row>
    <row r="848" spans="1:9" x14ac:dyDescent="0.35">
      <c r="A848">
        <v>18</v>
      </c>
      <c r="B848">
        <v>2016</v>
      </c>
      <c r="C848">
        <v>10</v>
      </c>
      <c r="D848" t="s">
        <v>175</v>
      </c>
      <c r="E848" t="s">
        <v>348</v>
      </c>
      <c r="F848" t="s">
        <v>21</v>
      </c>
      <c r="G848" t="s">
        <v>59</v>
      </c>
      <c r="H848" s="4">
        <v>13</v>
      </c>
      <c r="I848" t="str">
        <f t="shared" si="13"/>
        <v>Stellifer micropsRockhead</v>
      </c>
    </row>
    <row r="849" spans="1:9" x14ac:dyDescent="0.35">
      <c r="A849">
        <v>18</v>
      </c>
      <c r="B849">
        <v>2016</v>
      </c>
      <c r="C849">
        <v>10</v>
      </c>
      <c r="D849" t="s">
        <v>175</v>
      </c>
      <c r="E849" t="s">
        <v>348</v>
      </c>
      <c r="F849" t="s">
        <v>21</v>
      </c>
      <c r="G849" t="s">
        <v>59</v>
      </c>
      <c r="H849" s="4">
        <v>12</v>
      </c>
      <c r="I849" t="str">
        <f t="shared" si="13"/>
        <v>Stellifer micropsRockhead</v>
      </c>
    </row>
    <row r="850" spans="1:9" x14ac:dyDescent="0.35">
      <c r="A850">
        <v>18</v>
      </c>
      <c r="B850">
        <v>2016</v>
      </c>
      <c r="C850">
        <v>10</v>
      </c>
      <c r="D850" t="s">
        <v>175</v>
      </c>
      <c r="E850" t="s">
        <v>348</v>
      </c>
      <c r="F850" t="s">
        <v>21</v>
      </c>
      <c r="G850" t="s">
        <v>59</v>
      </c>
      <c r="H850" s="4">
        <v>13</v>
      </c>
      <c r="I850" t="str">
        <f t="shared" si="13"/>
        <v>Stellifer micropsRockhead</v>
      </c>
    </row>
    <row r="851" spans="1:9" x14ac:dyDescent="0.35">
      <c r="A851">
        <v>18</v>
      </c>
      <c r="B851">
        <v>2016</v>
      </c>
      <c r="C851">
        <v>10</v>
      </c>
      <c r="D851" t="s">
        <v>175</v>
      </c>
      <c r="E851" t="s">
        <v>348</v>
      </c>
      <c r="F851" t="s">
        <v>21</v>
      </c>
      <c r="G851" t="s">
        <v>59</v>
      </c>
      <c r="H851" s="4">
        <v>9</v>
      </c>
      <c r="I851" t="str">
        <f t="shared" si="13"/>
        <v>Stellifer micropsRockhead</v>
      </c>
    </row>
    <row r="852" spans="1:9" x14ac:dyDescent="0.35">
      <c r="A852">
        <v>18</v>
      </c>
      <c r="B852">
        <v>2016</v>
      </c>
      <c r="C852">
        <v>10</v>
      </c>
      <c r="D852" t="s">
        <v>175</v>
      </c>
      <c r="E852" t="s">
        <v>348</v>
      </c>
      <c r="F852" t="s">
        <v>21</v>
      </c>
      <c r="G852" t="s">
        <v>59</v>
      </c>
      <c r="H852" s="4">
        <v>9</v>
      </c>
      <c r="I852" t="str">
        <f t="shared" si="13"/>
        <v>Stellifer micropsRockhead</v>
      </c>
    </row>
    <row r="853" spans="1:9" x14ac:dyDescent="0.35">
      <c r="A853">
        <v>18</v>
      </c>
      <c r="B853">
        <v>2016</v>
      </c>
      <c r="C853">
        <v>10</v>
      </c>
      <c r="D853" t="s">
        <v>175</v>
      </c>
      <c r="E853" t="s">
        <v>348</v>
      </c>
      <c r="F853" t="s">
        <v>21</v>
      </c>
      <c r="G853" t="s">
        <v>59</v>
      </c>
      <c r="H853" s="4">
        <v>9</v>
      </c>
      <c r="I853" t="str">
        <f t="shared" si="13"/>
        <v>Stellifer micropsRockhead</v>
      </c>
    </row>
    <row r="854" spans="1:9" x14ac:dyDescent="0.35">
      <c r="A854">
        <v>18</v>
      </c>
      <c r="B854">
        <v>2016</v>
      </c>
      <c r="C854">
        <v>10</v>
      </c>
      <c r="D854" t="s">
        <v>175</v>
      </c>
      <c r="E854" t="s">
        <v>348</v>
      </c>
      <c r="F854" t="s">
        <v>21</v>
      </c>
      <c r="G854" t="s">
        <v>59</v>
      </c>
      <c r="H854" s="4">
        <v>11</v>
      </c>
      <c r="I854" t="str">
        <f t="shared" si="13"/>
        <v>Stellifer micropsRockhead</v>
      </c>
    </row>
    <row r="855" spans="1:9" x14ac:dyDescent="0.35">
      <c r="A855">
        <v>18</v>
      </c>
      <c r="B855">
        <v>2016</v>
      </c>
      <c r="C855">
        <v>10</v>
      </c>
      <c r="D855" t="s">
        <v>175</v>
      </c>
      <c r="E855" t="s">
        <v>348</v>
      </c>
      <c r="F855" t="s">
        <v>21</v>
      </c>
      <c r="G855" t="s">
        <v>59</v>
      </c>
      <c r="H855" s="4">
        <v>9</v>
      </c>
      <c r="I855" t="str">
        <f t="shared" si="13"/>
        <v>Stellifer micropsRockhead</v>
      </c>
    </row>
    <row r="856" spans="1:9" x14ac:dyDescent="0.35">
      <c r="A856">
        <v>18</v>
      </c>
      <c r="B856">
        <v>2016</v>
      </c>
      <c r="C856">
        <v>10</v>
      </c>
      <c r="D856" t="s">
        <v>175</v>
      </c>
      <c r="E856" t="s">
        <v>348</v>
      </c>
      <c r="F856" t="s">
        <v>21</v>
      </c>
      <c r="G856" t="s">
        <v>59</v>
      </c>
      <c r="H856" s="4">
        <v>10</v>
      </c>
      <c r="I856" t="str">
        <f t="shared" si="13"/>
        <v>Stellifer micropsRockhead</v>
      </c>
    </row>
    <row r="857" spans="1:9" x14ac:dyDescent="0.35">
      <c r="A857">
        <v>18</v>
      </c>
      <c r="B857">
        <v>2016</v>
      </c>
      <c r="C857">
        <v>10</v>
      </c>
      <c r="D857" t="s">
        <v>175</v>
      </c>
      <c r="E857" t="s">
        <v>348</v>
      </c>
      <c r="F857" t="s">
        <v>21</v>
      </c>
      <c r="G857" t="s">
        <v>59</v>
      </c>
      <c r="H857" s="4">
        <v>11</v>
      </c>
      <c r="I857" t="str">
        <f t="shared" si="13"/>
        <v>Stellifer micropsRockhead</v>
      </c>
    </row>
    <row r="858" spans="1:9" x14ac:dyDescent="0.35">
      <c r="A858">
        <v>18</v>
      </c>
      <c r="B858">
        <v>2016</v>
      </c>
      <c r="C858">
        <v>10</v>
      </c>
      <c r="D858" t="s">
        <v>175</v>
      </c>
      <c r="E858" t="s">
        <v>348</v>
      </c>
      <c r="F858" t="s">
        <v>21</v>
      </c>
      <c r="G858" t="s">
        <v>59</v>
      </c>
      <c r="H858" s="4">
        <v>10</v>
      </c>
      <c r="I858" t="str">
        <f t="shared" si="13"/>
        <v>Stellifer micropsRockhead</v>
      </c>
    </row>
    <row r="859" spans="1:9" x14ac:dyDescent="0.35">
      <c r="A859">
        <v>18</v>
      </c>
      <c r="B859">
        <v>2016</v>
      </c>
      <c r="C859">
        <v>10</v>
      </c>
      <c r="D859" t="s">
        <v>175</v>
      </c>
      <c r="E859" t="s">
        <v>348</v>
      </c>
      <c r="F859" t="s">
        <v>21</v>
      </c>
      <c r="G859" t="s">
        <v>59</v>
      </c>
      <c r="H859" s="4">
        <v>10</v>
      </c>
      <c r="I859" t="str">
        <f t="shared" si="13"/>
        <v>Stellifer micropsRockhead</v>
      </c>
    </row>
    <row r="860" spans="1:9" x14ac:dyDescent="0.35">
      <c r="A860">
        <v>18</v>
      </c>
      <c r="B860">
        <v>2016</v>
      </c>
      <c r="C860">
        <v>10</v>
      </c>
      <c r="D860" t="s">
        <v>175</v>
      </c>
      <c r="E860" t="s">
        <v>348</v>
      </c>
      <c r="F860" t="s">
        <v>21</v>
      </c>
      <c r="G860" t="s">
        <v>59</v>
      </c>
      <c r="H860" s="4">
        <v>7</v>
      </c>
      <c r="I860" t="str">
        <f t="shared" si="13"/>
        <v>Stellifer micropsRockhead</v>
      </c>
    </row>
    <row r="861" spans="1:9" x14ac:dyDescent="0.35">
      <c r="A861">
        <v>18</v>
      </c>
      <c r="B861">
        <v>2016</v>
      </c>
      <c r="C861">
        <v>10</v>
      </c>
      <c r="D861" t="s">
        <v>175</v>
      </c>
      <c r="E861" t="s">
        <v>348</v>
      </c>
      <c r="F861" t="s">
        <v>43</v>
      </c>
      <c r="G861" t="s">
        <v>57</v>
      </c>
      <c r="H861" s="4">
        <v>18</v>
      </c>
      <c r="I861" t="str">
        <f t="shared" si="13"/>
        <v>Cynoscion virescensSeatrout</v>
      </c>
    </row>
    <row r="862" spans="1:9" x14ac:dyDescent="0.35">
      <c r="A862">
        <v>18</v>
      </c>
      <c r="B862">
        <v>2016</v>
      </c>
      <c r="C862">
        <v>10</v>
      </c>
      <c r="D862" t="s">
        <v>175</v>
      </c>
      <c r="E862" t="s">
        <v>348</v>
      </c>
      <c r="F862" t="s">
        <v>43</v>
      </c>
      <c r="G862" t="s">
        <v>57</v>
      </c>
      <c r="H862" s="4">
        <v>18</v>
      </c>
      <c r="I862" t="str">
        <f t="shared" si="13"/>
        <v>Cynoscion virescensSeatrout</v>
      </c>
    </row>
    <row r="863" spans="1:9" x14ac:dyDescent="0.35">
      <c r="A863">
        <v>18</v>
      </c>
      <c r="B863">
        <v>2016</v>
      </c>
      <c r="C863">
        <v>10</v>
      </c>
      <c r="D863" t="s">
        <v>175</v>
      </c>
      <c r="E863" t="s">
        <v>348</v>
      </c>
      <c r="F863" t="s">
        <v>43</v>
      </c>
      <c r="G863" t="s">
        <v>57</v>
      </c>
      <c r="H863" s="4">
        <v>19</v>
      </c>
      <c r="I863" t="str">
        <f t="shared" si="13"/>
        <v>Cynoscion virescensSeatrout</v>
      </c>
    </row>
    <row r="864" spans="1:9" x14ac:dyDescent="0.35">
      <c r="A864">
        <v>18</v>
      </c>
      <c r="B864">
        <v>2016</v>
      </c>
      <c r="C864">
        <v>10</v>
      </c>
      <c r="D864" t="s">
        <v>175</v>
      </c>
      <c r="E864" t="s">
        <v>348</v>
      </c>
      <c r="F864" t="s">
        <v>43</v>
      </c>
      <c r="G864" t="s">
        <v>57</v>
      </c>
      <c r="H864" s="4">
        <v>20</v>
      </c>
      <c r="I864" t="str">
        <f t="shared" si="13"/>
        <v>Cynoscion virescensSeatrout</v>
      </c>
    </row>
    <row r="865" spans="1:9" x14ac:dyDescent="0.35">
      <c r="A865">
        <v>18</v>
      </c>
      <c r="B865">
        <v>2016</v>
      </c>
      <c r="C865">
        <v>10</v>
      </c>
      <c r="D865" t="s">
        <v>175</v>
      </c>
      <c r="E865" t="s">
        <v>348</v>
      </c>
      <c r="F865" t="s">
        <v>43</v>
      </c>
      <c r="G865" t="s">
        <v>57</v>
      </c>
      <c r="H865" s="4">
        <v>19</v>
      </c>
      <c r="I865" t="str">
        <f t="shared" si="13"/>
        <v>Cynoscion virescensSeatrout</v>
      </c>
    </row>
    <row r="866" spans="1:9" x14ac:dyDescent="0.35">
      <c r="A866">
        <v>18</v>
      </c>
      <c r="B866">
        <v>2016</v>
      </c>
      <c r="C866">
        <v>10</v>
      </c>
      <c r="D866" t="s">
        <v>175</v>
      </c>
      <c r="E866" t="s">
        <v>348</v>
      </c>
      <c r="F866" t="s">
        <v>43</v>
      </c>
      <c r="G866" t="s">
        <v>57</v>
      </c>
      <c r="H866" s="4">
        <v>18</v>
      </c>
      <c r="I866" t="str">
        <f t="shared" si="13"/>
        <v>Cynoscion virescensSeatrout</v>
      </c>
    </row>
    <row r="867" spans="1:9" x14ac:dyDescent="0.35">
      <c r="A867">
        <v>18</v>
      </c>
      <c r="B867">
        <v>2016</v>
      </c>
      <c r="C867">
        <v>10</v>
      </c>
      <c r="D867" t="s">
        <v>175</v>
      </c>
      <c r="E867" t="s">
        <v>348</v>
      </c>
      <c r="F867" t="s">
        <v>43</v>
      </c>
      <c r="G867" t="s">
        <v>57</v>
      </c>
      <c r="H867" s="4">
        <v>18</v>
      </c>
      <c r="I867" t="str">
        <f t="shared" si="13"/>
        <v>Cynoscion virescensSeatrout</v>
      </c>
    </row>
    <row r="868" spans="1:9" x14ac:dyDescent="0.35">
      <c r="A868">
        <v>18</v>
      </c>
      <c r="B868">
        <v>2016</v>
      </c>
      <c r="C868">
        <v>10</v>
      </c>
      <c r="D868" t="s">
        <v>175</v>
      </c>
      <c r="E868" t="s">
        <v>348</v>
      </c>
      <c r="F868" t="s">
        <v>43</v>
      </c>
      <c r="G868" t="s">
        <v>57</v>
      </c>
      <c r="H868" s="4">
        <v>19</v>
      </c>
      <c r="I868" t="str">
        <f t="shared" si="13"/>
        <v>Cynoscion virescensSeatrout</v>
      </c>
    </row>
    <row r="869" spans="1:9" x14ac:dyDescent="0.35">
      <c r="A869">
        <v>18</v>
      </c>
      <c r="B869">
        <v>2016</v>
      </c>
      <c r="C869">
        <v>10</v>
      </c>
      <c r="D869" t="s">
        <v>175</v>
      </c>
      <c r="E869" t="s">
        <v>348</v>
      </c>
      <c r="F869" t="s">
        <v>43</v>
      </c>
      <c r="G869" t="s">
        <v>57</v>
      </c>
      <c r="H869" s="4">
        <v>19</v>
      </c>
      <c r="I869" t="str">
        <f t="shared" si="13"/>
        <v>Cynoscion virescensSeatrout</v>
      </c>
    </row>
    <row r="870" spans="1:9" x14ac:dyDescent="0.35">
      <c r="A870">
        <v>18</v>
      </c>
      <c r="B870">
        <v>2016</v>
      </c>
      <c r="C870">
        <v>10</v>
      </c>
      <c r="D870" t="s">
        <v>175</v>
      </c>
      <c r="E870" t="s">
        <v>348</v>
      </c>
      <c r="F870" t="s">
        <v>43</v>
      </c>
      <c r="G870" t="s">
        <v>57</v>
      </c>
      <c r="H870" s="4">
        <v>17</v>
      </c>
      <c r="I870" t="str">
        <f t="shared" si="13"/>
        <v>Cynoscion virescensSeatrout</v>
      </c>
    </row>
    <row r="871" spans="1:9" x14ac:dyDescent="0.35">
      <c r="A871">
        <v>18</v>
      </c>
      <c r="B871">
        <v>2016</v>
      </c>
      <c r="C871">
        <v>10</v>
      </c>
      <c r="D871" t="s">
        <v>175</v>
      </c>
      <c r="E871" t="s">
        <v>348</v>
      </c>
      <c r="F871" t="s">
        <v>43</v>
      </c>
      <c r="G871" t="s">
        <v>57</v>
      </c>
      <c r="H871" s="4">
        <v>16</v>
      </c>
      <c r="I871" t="str">
        <f t="shared" si="13"/>
        <v>Cynoscion virescensSeatrout</v>
      </c>
    </row>
    <row r="872" spans="1:9" x14ac:dyDescent="0.35">
      <c r="A872">
        <v>18</v>
      </c>
      <c r="B872">
        <v>2016</v>
      </c>
      <c r="C872">
        <v>10</v>
      </c>
      <c r="D872" t="s">
        <v>175</v>
      </c>
      <c r="E872" t="s">
        <v>348</v>
      </c>
      <c r="F872" t="s">
        <v>43</v>
      </c>
      <c r="G872" t="s">
        <v>57</v>
      </c>
      <c r="H872" s="4">
        <v>16</v>
      </c>
      <c r="I872" t="str">
        <f t="shared" si="13"/>
        <v>Cynoscion virescensSeatrout</v>
      </c>
    </row>
    <row r="873" spans="1:9" x14ac:dyDescent="0.35">
      <c r="A873">
        <v>18</v>
      </c>
      <c r="B873">
        <v>2016</v>
      </c>
      <c r="C873">
        <v>10</v>
      </c>
      <c r="D873" t="s">
        <v>175</v>
      </c>
      <c r="E873" t="s">
        <v>348</v>
      </c>
      <c r="F873" t="s">
        <v>43</v>
      </c>
      <c r="G873" t="s">
        <v>57</v>
      </c>
      <c r="H873" s="4">
        <v>18</v>
      </c>
      <c r="I873" t="str">
        <f t="shared" si="13"/>
        <v>Cynoscion virescensSeatrout</v>
      </c>
    </row>
    <row r="874" spans="1:9" x14ac:dyDescent="0.35">
      <c r="A874">
        <v>18</v>
      </c>
      <c r="B874">
        <v>2016</v>
      </c>
      <c r="C874">
        <v>10</v>
      </c>
      <c r="D874" t="s">
        <v>175</v>
      </c>
      <c r="E874" t="s">
        <v>348</v>
      </c>
      <c r="F874" t="s">
        <v>43</v>
      </c>
      <c r="G874" t="s">
        <v>57</v>
      </c>
      <c r="H874" s="4">
        <v>13</v>
      </c>
      <c r="I874" t="str">
        <f t="shared" si="13"/>
        <v>Cynoscion virescensSeatrout</v>
      </c>
    </row>
    <row r="875" spans="1:9" x14ac:dyDescent="0.35">
      <c r="A875">
        <v>18</v>
      </c>
      <c r="B875">
        <v>2016</v>
      </c>
      <c r="C875">
        <v>10</v>
      </c>
      <c r="D875" t="s">
        <v>175</v>
      </c>
      <c r="E875" t="s">
        <v>348</v>
      </c>
      <c r="F875" t="s">
        <v>43</v>
      </c>
      <c r="G875" t="s">
        <v>57</v>
      </c>
      <c r="H875" s="4">
        <v>17</v>
      </c>
      <c r="I875" t="str">
        <f t="shared" si="13"/>
        <v>Cynoscion virescensSeatrout</v>
      </c>
    </row>
    <row r="876" spans="1:9" x14ac:dyDescent="0.35">
      <c r="A876">
        <v>18</v>
      </c>
      <c r="B876">
        <v>2016</v>
      </c>
      <c r="C876">
        <v>10</v>
      </c>
      <c r="D876" t="s">
        <v>175</v>
      </c>
      <c r="E876" t="s">
        <v>348</v>
      </c>
      <c r="F876" t="s">
        <v>43</v>
      </c>
      <c r="G876" t="s">
        <v>57</v>
      </c>
      <c r="H876" s="4">
        <v>18</v>
      </c>
      <c r="I876" t="str">
        <f t="shared" si="13"/>
        <v>Cynoscion virescensSeatrout</v>
      </c>
    </row>
    <row r="877" spans="1:9" x14ac:dyDescent="0.35">
      <c r="A877">
        <v>18</v>
      </c>
      <c r="B877">
        <v>2016</v>
      </c>
      <c r="C877">
        <v>10</v>
      </c>
      <c r="D877" t="s">
        <v>175</v>
      </c>
      <c r="E877" t="s">
        <v>348</v>
      </c>
      <c r="F877" t="s">
        <v>43</v>
      </c>
      <c r="G877" t="s">
        <v>57</v>
      </c>
      <c r="H877" s="4">
        <v>16</v>
      </c>
      <c r="I877" t="str">
        <f t="shared" si="13"/>
        <v>Cynoscion virescensSeatrout</v>
      </c>
    </row>
    <row r="878" spans="1:9" x14ac:dyDescent="0.35">
      <c r="A878">
        <v>18</v>
      </c>
      <c r="B878">
        <v>2016</v>
      </c>
      <c r="C878">
        <v>10</v>
      </c>
      <c r="D878" t="s">
        <v>175</v>
      </c>
      <c r="E878" t="s">
        <v>348</v>
      </c>
      <c r="F878" t="s">
        <v>43</v>
      </c>
      <c r="G878" t="s">
        <v>57</v>
      </c>
      <c r="H878" s="4">
        <v>21</v>
      </c>
      <c r="I878" t="str">
        <f t="shared" si="13"/>
        <v>Cynoscion virescensSeatrout</v>
      </c>
    </row>
    <row r="879" spans="1:9" x14ac:dyDescent="0.35">
      <c r="A879">
        <v>18</v>
      </c>
      <c r="B879">
        <v>2016</v>
      </c>
      <c r="C879">
        <v>10</v>
      </c>
      <c r="D879" t="s">
        <v>175</v>
      </c>
      <c r="E879" t="s">
        <v>348</v>
      </c>
      <c r="F879" t="s">
        <v>43</v>
      </c>
      <c r="G879" t="s">
        <v>57</v>
      </c>
      <c r="H879" s="4">
        <v>21</v>
      </c>
      <c r="I879" t="str">
        <f t="shared" si="13"/>
        <v>Cynoscion virescensSeatrout</v>
      </c>
    </row>
    <row r="880" spans="1:9" x14ac:dyDescent="0.35">
      <c r="A880">
        <v>18</v>
      </c>
      <c r="B880">
        <v>2016</v>
      </c>
      <c r="C880">
        <v>10</v>
      </c>
      <c r="D880" t="s">
        <v>175</v>
      </c>
      <c r="E880" t="s">
        <v>348</v>
      </c>
      <c r="F880" t="s">
        <v>43</v>
      </c>
      <c r="G880" t="s">
        <v>57</v>
      </c>
      <c r="H880" s="4">
        <v>21</v>
      </c>
      <c r="I880" t="str">
        <f t="shared" si="13"/>
        <v>Cynoscion virescensSeatrout</v>
      </c>
    </row>
    <row r="881" spans="1:9" x14ac:dyDescent="0.35">
      <c r="A881">
        <v>18</v>
      </c>
      <c r="B881">
        <v>2016</v>
      </c>
      <c r="C881">
        <v>10</v>
      </c>
      <c r="D881" t="s">
        <v>175</v>
      </c>
      <c r="E881" t="s">
        <v>348</v>
      </c>
      <c r="F881" t="s">
        <v>43</v>
      </c>
      <c r="G881" t="s">
        <v>57</v>
      </c>
      <c r="H881" s="4">
        <v>21</v>
      </c>
      <c r="I881" t="str">
        <f t="shared" si="13"/>
        <v>Cynoscion virescensSeatrout</v>
      </c>
    </row>
    <row r="882" spans="1:9" x14ac:dyDescent="0.35">
      <c r="A882">
        <v>18</v>
      </c>
      <c r="B882">
        <v>2016</v>
      </c>
      <c r="C882">
        <v>10</v>
      </c>
      <c r="D882" t="s">
        <v>175</v>
      </c>
      <c r="E882" t="s">
        <v>348</v>
      </c>
      <c r="F882" t="s">
        <v>43</v>
      </c>
      <c r="G882" t="s">
        <v>57</v>
      </c>
      <c r="H882" s="4">
        <v>21</v>
      </c>
      <c r="I882" t="str">
        <f t="shared" si="13"/>
        <v>Cynoscion virescensSeatrout</v>
      </c>
    </row>
    <row r="883" spans="1:9" x14ac:dyDescent="0.35">
      <c r="A883">
        <v>18</v>
      </c>
      <c r="B883">
        <v>2016</v>
      </c>
      <c r="C883">
        <v>10</v>
      </c>
      <c r="D883" t="s">
        <v>175</v>
      </c>
      <c r="E883" t="s">
        <v>348</v>
      </c>
      <c r="F883" t="s">
        <v>43</v>
      </c>
      <c r="G883" t="s">
        <v>57</v>
      </c>
      <c r="H883" s="4">
        <v>22</v>
      </c>
      <c r="I883" t="str">
        <f t="shared" si="13"/>
        <v>Cynoscion virescensSeatrout</v>
      </c>
    </row>
    <row r="884" spans="1:9" x14ac:dyDescent="0.35">
      <c r="A884">
        <v>18</v>
      </c>
      <c r="B884">
        <v>2016</v>
      </c>
      <c r="C884">
        <v>10</v>
      </c>
      <c r="D884" t="s">
        <v>175</v>
      </c>
      <c r="E884" t="s">
        <v>348</v>
      </c>
      <c r="F884" t="s">
        <v>43</v>
      </c>
      <c r="G884" t="s">
        <v>57</v>
      </c>
      <c r="H884" s="4">
        <v>22</v>
      </c>
      <c r="I884" t="str">
        <f t="shared" si="13"/>
        <v>Cynoscion virescensSeatrout</v>
      </c>
    </row>
    <row r="885" spans="1:9" x14ac:dyDescent="0.35">
      <c r="A885">
        <v>18</v>
      </c>
      <c r="B885">
        <v>2016</v>
      </c>
      <c r="C885">
        <v>10</v>
      </c>
      <c r="D885" t="s">
        <v>175</v>
      </c>
      <c r="E885" t="s">
        <v>348</v>
      </c>
      <c r="F885" t="s">
        <v>43</v>
      </c>
      <c r="G885" t="s">
        <v>57</v>
      </c>
      <c r="H885" s="4">
        <v>19</v>
      </c>
      <c r="I885" t="str">
        <f t="shared" si="13"/>
        <v>Cynoscion virescensSeatrout</v>
      </c>
    </row>
    <row r="886" spans="1:9" x14ac:dyDescent="0.35">
      <c r="A886">
        <v>18</v>
      </c>
      <c r="B886">
        <v>2016</v>
      </c>
      <c r="C886">
        <v>10</v>
      </c>
      <c r="D886" t="s">
        <v>175</v>
      </c>
      <c r="E886" t="s">
        <v>348</v>
      </c>
      <c r="F886" t="s">
        <v>43</v>
      </c>
      <c r="G886" t="s">
        <v>57</v>
      </c>
      <c r="H886" s="4">
        <v>20</v>
      </c>
      <c r="I886" t="str">
        <f t="shared" si="13"/>
        <v>Cynoscion virescensSeatrout</v>
      </c>
    </row>
    <row r="887" spans="1:9" x14ac:dyDescent="0.35">
      <c r="A887">
        <v>18</v>
      </c>
      <c r="B887">
        <v>2016</v>
      </c>
      <c r="C887">
        <v>10</v>
      </c>
      <c r="D887" t="s">
        <v>175</v>
      </c>
      <c r="E887" t="s">
        <v>348</v>
      </c>
      <c r="F887" t="s">
        <v>43</v>
      </c>
      <c r="G887" t="s">
        <v>57</v>
      </c>
      <c r="H887" s="4">
        <v>24</v>
      </c>
      <c r="I887" t="str">
        <f t="shared" si="13"/>
        <v>Cynoscion virescensSeatrout</v>
      </c>
    </row>
    <row r="888" spans="1:9" x14ac:dyDescent="0.35">
      <c r="A888">
        <v>18</v>
      </c>
      <c r="B888">
        <v>2016</v>
      </c>
      <c r="C888">
        <v>10</v>
      </c>
      <c r="D888" t="s">
        <v>175</v>
      </c>
      <c r="E888" t="s">
        <v>348</v>
      </c>
      <c r="F888" t="s">
        <v>43</v>
      </c>
      <c r="G888" t="s">
        <v>57</v>
      </c>
      <c r="H888" s="4">
        <v>24</v>
      </c>
      <c r="I888" t="str">
        <f t="shared" si="13"/>
        <v>Cynoscion virescensSeatrout</v>
      </c>
    </row>
    <row r="889" spans="1:9" x14ac:dyDescent="0.35">
      <c r="A889">
        <v>18</v>
      </c>
      <c r="B889">
        <v>2016</v>
      </c>
      <c r="C889">
        <v>10</v>
      </c>
      <c r="D889" t="s">
        <v>175</v>
      </c>
      <c r="E889" t="s">
        <v>348</v>
      </c>
      <c r="F889" t="s">
        <v>43</v>
      </c>
      <c r="G889" t="s">
        <v>57</v>
      </c>
      <c r="H889" s="4">
        <v>23</v>
      </c>
      <c r="I889" t="str">
        <f t="shared" si="13"/>
        <v>Cynoscion virescensSeatrout</v>
      </c>
    </row>
    <row r="890" spans="1:9" x14ac:dyDescent="0.35">
      <c r="A890">
        <v>18</v>
      </c>
      <c r="B890">
        <v>2016</v>
      </c>
      <c r="C890">
        <v>10</v>
      </c>
      <c r="D890" t="s">
        <v>175</v>
      </c>
      <c r="E890" t="s">
        <v>348</v>
      </c>
      <c r="F890" t="s">
        <v>43</v>
      </c>
      <c r="G890" t="s">
        <v>57</v>
      </c>
      <c r="H890" s="4">
        <v>22</v>
      </c>
      <c r="I890" t="str">
        <f t="shared" si="13"/>
        <v>Cynoscion virescensSeatrout</v>
      </c>
    </row>
    <row r="891" spans="1:9" x14ac:dyDescent="0.35">
      <c r="A891">
        <v>22</v>
      </c>
      <c r="B891">
        <v>2017</v>
      </c>
      <c r="C891">
        <v>1</v>
      </c>
      <c r="D891" t="s">
        <v>176</v>
      </c>
      <c r="E891" t="s">
        <v>348</v>
      </c>
      <c r="F891" t="s">
        <v>40</v>
      </c>
      <c r="G891" t="s">
        <v>35</v>
      </c>
      <c r="H891" s="4">
        <v>26</v>
      </c>
      <c r="I891" t="str">
        <f t="shared" si="13"/>
        <v>Macrodon ancylodonBangamary</v>
      </c>
    </row>
    <row r="892" spans="1:9" x14ac:dyDescent="0.35">
      <c r="A892">
        <v>22</v>
      </c>
      <c r="B892">
        <v>2017</v>
      </c>
      <c r="C892">
        <v>1</v>
      </c>
      <c r="D892" t="s">
        <v>176</v>
      </c>
      <c r="E892" t="s">
        <v>348</v>
      </c>
      <c r="F892" t="s">
        <v>40</v>
      </c>
      <c r="G892" t="s">
        <v>35</v>
      </c>
      <c r="H892" s="4">
        <v>26</v>
      </c>
      <c r="I892" t="str">
        <f t="shared" si="13"/>
        <v>Macrodon ancylodonBangamary</v>
      </c>
    </row>
    <row r="893" spans="1:9" x14ac:dyDescent="0.35">
      <c r="A893">
        <v>22</v>
      </c>
      <c r="B893">
        <v>2017</v>
      </c>
      <c r="C893">
        <v>1</v>
      </c>
      <c r="D893" t="s">
        <v>176</v>
      </c>
      <c r="E893" t="s">
        <v>348</v>
      </c>
      <c r="F893" t="s">
        <v>40</v>
      </c>
      <c r="G893" t="s">
        <v>35</v>
      </c>
      <c r="H893" s="4">
        <v>13</v>
      </c>
      <c r="I893" t="str">
        <f t="shared" si="13"/>
        <v>Macrodon ancylodonBangamary</v>
      </c>
    </row>
    <row r="894" spans="1:9" x14ac:dyDescent="0.35">
      <c r="A894">
        <v>22</v>
      </c>
      <c r="B894">
        <v>2017</v>
      </c>
      <c r="C894">
        <v>1</v>
      </c>
      <c r="D894" t="s">
        <v>176</v>
      </c>
      <c r="E894" t="s">
        <v>348</v>
      </c>
      <c r="F894" t="s">
        <v>40</v>
      </c>
      <c r="G894" t="s">
        <v>35</v>
      </c>
      <c r="H894" s="4">
        <v>13</v>
      </c>
      <c r="I894" t="str">
        <f t="shared" si="13"/>
        <v>Macrodon ancylodonBangamary</v>
      </c>
    </row>
    <row r="895" spans="1:9" x14ac:dyDescent="0.35">
      <c r="A895">
        <v>22</v>
      </c>
      <c r="B895">
        <v>2017</v>
      </c>
      <c r="C895">
        <v>1</v>
      </c>
      <c r="D895" t="s">
        <v>176</v>
      </c>
      <c r="E895" t="s">
        <v>348</v>
      </c>
      <c r="F895" t="s">
        <v>40</v>
      </c>
      <c r="G895" t="s">
        <v>35</v>
      </c>
      <c r="H895" s="4">
        <v>13</v>
      </c>
      <c r="I895" t="str">
        <f t="shared" si="13"/>
        <v>Macrodon ancylodonBangamary</v>
      </c>
    </row>
    <row r="896" spans="1:9" x14ac:dyDescent="0.35">
      <c r="A896">
        <v>22</v>
      </c>
      <c r="B896">
        <v>2017</v>
      </c>
      <c r="C896">
        <v>1</v>
      </c>
      <c r="D896" t="s">
        <v>176</v>
      </c>
      <c r="E896" t="s">
        <v>348</v>
      </c>
      <c r="F896" t="s">
        <v>40</v>
      </c>
      <c r="G896" t="s">
        <v>35</v>
      </c>
      <c r="H896" s="4">
        <v>19</v>
      </c>
      <c r="I896" t="str">
        <f t="shared" si="13"/>
        <v>Macrodon ancylodonBangamary</v>
      </c>
    </row>
    <row r="897" spans="1:9" x14ac:dyDescent="0.35">
      <c r="A897">
        <v>22</v>
      </c>
      <c r="B897">
        <v>2017</v>
      </c>
      <c r="C897">
        <v>1</v>
      </c>
      <c r="D897" t="s">
        <v>176</v>
      </c>
      <c r="E897" t="s">
        <v>348</v>
      </c>
      <c r="F897" t="s">
        <v>40</v>
      </c>
      <c r="G897" t="s">
        <v>35</v>
      </c>
      <c r="H897" s="4">
        <v>19</v>
      </c>
      <c r="I897" t="str">
        <f t="shared" si="13"/>
        <v>Macrodon ancylodonBangamary</v>
      </c>
    </row>
    <row r="898" spans="1:9" x14ac:dyDescent="0.35">
      <c r="A898">
        <v>22</v>
      </c>
      <c r="B898">
        <v>2017</v>
      </c>
      <c r="C898">
        <v>1</v>
      </c>
      <c r="D898" t="s">
        <v>176</v>
      </c>
      <c r="E898" t="s">
        <v>348</v>
      </c>
      <c r="F898" t="s">
        <v>40</v>
      </c>
      <c r="G898" t="s">
        <v>35</v>
      </c>
      <c r="H898" s="4">
        <v>19</v>
      </c>
      <c r="I898" t="str">
        <f t="shared" ref="I898:I961" si="14">CONCATENATE(F898,G898)</f>
        <v>Macrodon ancylodonBangamary</v>
      </c>
    </row>
    <row r="899" spans="1:9" x14ac:dyDescent="0.35">
      <c r="A899">
        <v>22</v>
      </c>
      <c r="B899">
        <v>2017</v>
      </c>
      <c r="C899">
        <v>1</v>
      </c>
      <c r="D899" t="s">
        <v>176</v>
      </c>
      <c r="E899" t="s">
        <v>348</v>
      </c>
      <c r="F899" t="s">
        <v>40</v>
      </c>
      <c r="G899" t="s">
        <v>35</v>
      </c>
      <c r="H899" s="4">
        <v>19</v>
      </c>
      <c r="I899" t="str">
        <f t="shared" si="14"/>
        <v>Macrodon ancylodonBangamary</v>
      </c>
    </row>
    <row r="900" spans="1:9" x14ac:dyDescent="0.35">
      <c r="A900">
        <v>22</v>
      </c>
      <c r="B900">
        <v>2017</v>
      </c>
      <c r="C900">
        <v>1</v>
      </c>
      <c r="D900" t="s">
        <v>176</v>
      </c>
      <c r="E900" t="s">
        <v>348</v>
      </c>
      <c r="F900" t="s">
        <v>40</v>
      </c>
      <c r="G900" t="s">
        <v>35</v>
      </c>
      <c r="H900" s="4">
        <v>20</v>
      </c>
      <c r="I900" t="str">
        <f t="shared" si="14"/>
        <v>Macrodon ancylodonBangamary</v>
      </c>
    </row>
    <row r="901" spans="1:9" x14ac:dyDescent="0.35">
      <c r="A901">
        <v>22</v>
      </c>
      <c r="B901">
        <v>2017</v>
      </c>
      <c r="C901">
        <v>1</v>
      </c>
      <c r="D901" t="s">
        <v>176</v>
      </c>
      <c r="E901" t="s">
        <v>348</v>
      </c>
      <c r="F901" t="s">
        <v>40</v>
      </c>
      <c r="G901" t="s">
        <v>35</v>
      </c>
      <c r="H901" s="4">
        <v>15</v>
      </c>
      <c r="I901" t="str">
        <f t="shared" si="14"/>
        <v>Macrodon ancylodonBangamary</v>
      </c>
    </row>
    <row r="902" spans="1:9" x14ac:dyDescent="0.35">
      <c r="A902">
        <v>22</v>
      </c>
      <c r="B902">
        <v>2017</v>
      </c>
      <c r="C902">
        <v>1</v>
      </c>
      <c r="D902" t="s">
        <v>176</v>
      </c>
      <c r="E902" t="s">
        <v>348</v>
      </c>
      <c r="F902" t="s">
        <v>40</v>
      </c>
      <c r="G902" t="s">
        <v>35</v>
      </c>
      <c r="H902" s="4">
        <v>15</v>
      </c>
      <c r="I902" t="str">
        <f t="shared" si="14"/>
        <v>Macrodon ancylodonBangamary</v>
      </c>
    </row>
    <row r="903" spans="1:9" x14ac:dyDescent="0.35">
      <c r="A903">
        <v>22</v>
      </c>
      <c r="B903">
        <v>2017</v>
      </c>
      <c r="C903">
        <v>1</v>
      </c>
      <c r="D903" t="s">
        <v>176</v>
      </c>
      <c r="E903" t="s">
        <v>348</v>
      </c>
      <c r="F903" t="s">
        <v>40</v>
      </c>
      <c r="G903" t="s">
        <v>35</v>
      </c>
      <c r="H903" s="4">
        <v>15</v>
      </c>
      <c r="I903" t="str">
        <f t="shared" si="14"/>
        <v>Macrodon ancylodonBangamary</v>
      </c>
    </row>
    <row r="904" spans="1:9" x14ac:dyDescent="0.35">
      <c r="A904">
        <v>22</v>
      </c>
      <c r="B904">
        <v>2017</v>
      </c>
      <c r="C904">
        <v>1</v>
      </c>
      <c r="D904" t="s">
        <v>176</v>
      </c>
      <c r="E904" t="s">
        <v>348</v>
      </c>
      <c r="F904" t="s">
        <v>40</v>
      </c>
      <c r="G904" t="s">
        <v>35</v>
      </c>
      <c r="H904" s="4">
        <v>15</v>
      </c>
      <c r="I904" t="str">
        <f t="shared" si="14"/>
        <v>Macrodon ancylodonBangamary</v>
      </c>
    </row>
    <row r="905" spans="1:9" x14ac:dyDescent="0.35">
      <c r="A905">
        <v>22</v>
      </c>
      <c r="B905">
        <v>2017</v>
      </c>
      <c r="C905">
        <v>1</v>
      </c>
      <c r="D905" t="s">
        <v>176</v>
      </c>
      <c r="E905" t="s">
        <v>348</v>
      </c>
      <c r="F905" t="s">
        <v>40</v>
      </c>
      <c r="G905" t="s">
        <v>35</v>
      </c>
      <c r="H905" s="4">
        <v>18</v>
      </c>
      <c r="I905" t="str">
        <f t="shared" si="14"/>
        <v>Macrodon ancylodonBangamary</v>
      </c>
    </row>
    <row r="906" spans="1:9" x14ac:dyDescent="0.35">
      <c r="A906">
        <v>22</v>
      </c>
      <c r="B906">
        <v>2017</v>
      </c>
      <c r="C906">
        <v>1</v>
      </c>
      <c r="D906" t="s">
        <v>176</v>
      </c>
      <c r="E906" t="s">
        <v>348</v>
      </c>
      <c r="F906" t="s">
        <v>40</v>
      </c>
      <c r="G906" t="s">
        <v>35</v>
      </c>
      <c r="H906" s="4">
        <v>18</v>
      </c>
      <c r="I906" t="str">
        <f t="shared" si="14"/>
        <v>Macrodon ancylodonBangamary</v>
      </c>
    </row>
    <row r="907" spans="1:9" x14ac:dyDescent="0.35">
      <c r="A907">
        <v>22</v>
      </c>
      <c r="B907">
        <v>2017</v>
      </c>
      <c r="C907">
        <v>1</v>
      </c>
      <c r="D907" t="s">
        <v>176</v>
      </c>
      <c r="E907" t="s">
        <v>348</v>
      </c>
      <c r="F907" t="s">
        <v>40</v>
      </c>
      <c r="G907" t="s">
        <v>35</v>
      </c>
      <c r="H907" s="4">
        <v>18</v>
      </c>
      <c r="I907" t="str">
        <f t="shared" si="14"/>
        <v>Macrodon ancylodonBangamary</v>
      </c>
    </row>
    <row r="908" spans="1:9" x14ac:dyDescent="0.35">
      <c r="A908">
        <v>22</v>
      </c>
      <c r="B908">
        <v>2017</v>
      </c>
      <c r="C908">
        <v>1</v>
      </c>
      <c r="D908" t="s">
        <v>176</v>
      </c>
      <c r="E908" t="s">
        <v>348</v>
      </c>
      <c r="F908" t="s">
        <v>40</v>
      </c>
      <c r="G908" t="s">
        <v>35</v>
      </c>
      <c r="H908" s="4">
        <v>16</v>
      </c>
      <c r="I908" t="str">
        <f t="shared" si="14"/>
        <v>Macrodon ancylodonBangamary</v>
      </c>
    </row>
    <row r="909" spans="1:9" x14ac:dyDescent="0.35">
      <c r="A909">
        <v>22</v>
      </c>
      <c r="B909">
        <v>2017</v>
      </c>
      <c r="C909">
        <v>1</v>
      </c>
      <c r="D909" t="s">
        <v>176</v>
      </c>
      <c r="E909" t="s">
        <v>348</v>
      </c>
      <c r="F909" t="s">
        <v>40</v>
      </c>
      <c r="G909" t="s">
        <v>35</v>
      </c>
      <c r="H909" s="4">
        <v>16</v>
      </c>
      <c r="I909" t="str">
        <f t="shared" si="14"/>
        <v>Macrodon ancylodonBangamary</v>
      </c>
    </row>
    <row r="910" spans="1:9" x14ac:dyDescent="0.35">
      <c r="A910">
        <v>22</v>
      </c>
      <c r="B910">
        <v>2017</v>
      </c>
      <c r="C910">
        <v>1</v>
      </c>
      <c r="D910" t="s">
        <v>176</v>
      </c>
      <c r="E910" t="s">
        <v>348</v>
      </c>
      <c r="F910" t="s">
        <v>40</v>
      </c>
      <c r="G910" t="s">
        <v>35</v>
      </c>
      <c r="H910" s="4">
        <v>16</v>
      </c>
      <c r="I910" t="str">
        <f t="shared" si="14"/>
        <v>Macrodon ancylodonBangamary</v>
      </c>
    </row>
    <row r="911" spans="1:9" x14ac:dyDescent="0.35">
      <c r="A911">
        <v>22</v>
      </c>
      <c r="B911">
        <v>2017</v>
      </c>
      <c r="C911">
        <v>1</v>
      </c>
      <c r="D911" t="s">
        <v>176</v>
      </c>
      <c r="E911" t="s">
        <v>348</v>
      </c>
      <c r="F911" t="s">
        <v>40</v>
      </c>
      <c r="G911" t="s">
        <v>35</v>
      </c>
      <c r="H911" s="4">
        <v>14</v>
      </c>
      <c r="I911" t="str">
        <f t="shared" si="14"/>
        <v>Macrodon ancylodonBangamary</v>
      </c>
    </row>
    <row r="912" spans="1:9" x14ac:dyDescent="0.35">
      <c r="A912">
        <v>22</v>
      </c>
      <c r="B912">
        <v>2017</v>
      </c>
      <c r="C912">
        <v>1</v>
      </c>
      <c r="D912" t="s">
        <v>176</v>
      </c>
      <c r="E912" t="s">
        <v>348</v>
      </c>
      <c r="F912" t="s">
        <v>40</v>
      </c>
      <c r="G912" t="s">
        <v>35</v>
      </c>
      <c r="H912" s="4">
        <v>17</v>
      </c>
      <c r="I912" t="str">
        <f t="shared" si="14"/>
        <v>Macrodon ancylodonBangamary</v>
      </c>
    </row>
    <row r="913" spans="1:9" x14ac:dyDescent="0.35">
      <c r="A913">
        <v>22</v>
      </c>
      <c r="B913">
        <v>2017</v>
      </c>
      <c r="C913">
        <v>1</v>
      </c>
      <c r="D913" t="s">
        <v>176</v>
      </c>
      <c r="E913" t="s">
        <v>348</v>
      </c>
      <c r="F913" t="s">
        <v>40</v>
      </c>
      <c r="G913" t="s">
        <v>35</v>
      </c>
      <c r="H913" s="4">
        <v>17</v>
      </c>
      <c r="I913" t="str">
        <f t="shared" si="14"/>
        <v>Macrodon ancylodonBangamary</v>
      </c>
    </row>
    <row r="914" spans="1:9" x14ac:dyDescent="0.35">
      <c r="A914">
        <v>22</v>
      </c>
      <c r="B914">
        <v>2017</v>
      </c>
      <c r="C914">
        <v>1</v>
      </c>
      <c r="D914" t="s">
        <v>176</v>
      </c>
      <c r="E914" t="s">
        <v>348</v>
      </c>
      <c r="F914" t="s">
        <v>40</v>
      </c>
      <c r="G914" t="s">
        <v>35</v>
      </c>
      <c r="H914" s="4">
        <v>17</v>
      </c>
      <c r="I914" t="str">
        <f t="shared" si="14"/>
        <v>Macrodon ancylodonBangamary</v>
      </c>
    </row>
    <row r="915" spans="1:9" x14ac:dyDescent="0.35">
      <c r="A915">
        <v>22</v>
      </c>
      <c r="B915">
        <v>2017</v>
      </c>
      <c r="C915">
        <v>1</v>
      </c>
      <c r="D915" t="s">
        <v>176</v>
      </c>
      <c r="E915" t="s">
        <v>348</v>
      </c>
      <c r="F915" t="s">
        <v>40</v>
      </c>
      <c r="G915" t="s">
        <v>35</v>
      </c>
      <c r="H915" s="4">
        <v>21</v>
      </c>
      <c r="I915" t="str">
        <f t="shared" si="14"/>
        <v>Macrodon ancylodonBangamary</v>
      </c>
    </row>
    <row r="916" spans="1:9" x14ac:dyDescent="0.35">
      <c r="A916">
        <v>22</v>
      </c>
      <c r="B916">
        <v>2017</v>
      </c>
      <c r="C916">
        <v>1</v>
      </c>
      <c r="D916" t="s">
        <v>176</v>
      </c>
      <c r="E916" t="s">
        <v>348</v>
      </c>
      <c r="F916" t="s">
        <v>40</v>
      </c>
      <c r="G916" t="s">
        <v>35</v>
      </c>
      <c r="H916" s="4">
        <v>21</v>
      </c>
      <c r="I916" t="str">
        <f t="shared" si="14"/>
        <v>Macrodon ancylodonBangamary</v>
      </c>
    </row>
    <row r="917" spans="1:9" x14ac:dyDescent="0.35">
      <c r="A917">
        <v>22</v>
      </c>
      <c r="B917">
        <v>2017</v>
      </c>
      <c r="C917">
        <v>1</v>
      </c>
      <c r="D917" t="s">
        <v>176</v>
      </c>
      <c r="E917" t="s">
        <v>348</v>
      </c>
      <c r="F917" t="s">
        <v>40</v>
      </c>
      <c r="G917" t="s">
        <v>35</v>
      </c>
      <c r="H917" s="4">
        <v>21</v>
      </c>
      <c r="I917" t="str">
        <f t="shared" si="14"/>
        <v>Macrodon ancylodonBangamary</v>
      </c>
    </row>
    <row r="918" spans="1:9" x14ac:dyDescent="0.35">
      <c r="A918">
        <v>22</v>
      </c>
      <c r="B918">
        <v>2017</v>
      </c>
      <c r="C918">
        <v>1</v>
      </c>
      <c r="D918" t="s">
        <v>176</v>
      </c>
      <c r="E918" t="s">
        <v>348</v>
      </c>
      <c r="F918" t="s">
        <v>40</v>
      </c>
      <c r="G918" t="s">
        <v>35</v>
      </c>
      <c r="H918" s="4">
        <v>22</v>
      </c>
      <c r="I918" t="str">
        <f t="shared" si="14"/>
        <v>Macrodon ancylodonBangamary</v>
      </c>
    </row>
    <row r="919" spans="1:9" x14ac:dyDescent="0.35">
      <c r="A919">
        <v>22</v>
      </c>
      <c r="B919">
        <v>2017</v>
      </c>
      <c r="C919">
        <v>1</v>
      </c>
      <c r="D919" t="s">
        <v>176</v>
      </c>
      <c r="E919" t="s">
        <v>348</v>
      </c>
      <c r="F919" t="s">
        <v>40</v>
      </c>
      <c r="G919" t="s">
        <v>35</v>
      </c>
      <c r="H919" s="4">
        <v>20</v>
      </c>
      <c r="I919" t="str">
        <f t="shared" si="14"/>
        <v>Macrodon ancylodonBangamary</v>
      </c>
    </row>
    <row r="920" spans="1:9" x14ac:dyDescent="0.35">
      <c r="A920">
        <v>22</v>
      </c>
      <c r="B920">
        <v>2017</v>
      </c>
      <c r="C920">
        <v>1</v>
      </c>
      <c r="D920" t="s">
        <v>176</v>
      </c>
      <c r="E920" t="s">
        <v>348</v>
      </c>
      <c r="F920" t="s">
        <v>40</v>
      </c>
      <c r="G920" t="s">
        <v>35</v>
      </c>
      <c r="H920" s="4">
        <v>28</v>
      </c>
      <c r="I920" t="str">
        <f t="shared" si="14"/>
        <v>Macrodon ancylodonBangamary</v>
      </c>
    </row>
    <row r="921" spans="1:9" x14ac:dyDescent="0.35">
      <c r="A921">
        <v>22</v>
      </c>
      <c r="B921">
        <v>2017</v>
      </c>
      <c r="C921">
        <v>1</v>
      </c>
      <c r="D921" t="s">
        <v>176</v>
      </c>
      <c r="E921" t="s">
        <v>348</v>
      </c>
      <c r="F921" t="s">
        <v>283</v>
      </c>
      <c r="G921" t="s">
        <v>284</v>
      </c>
      <c r="H921" s="4">
        <v>23</v>
      </c>
      <c r="I921" t="str">
        <f t="shared" si="14"/>
        <v>Paralonchurus braziliensisBanded croaker</v>
      </c>
    </row>
    <row r="922" spans="1:9" x14ac:dyDescent="0.35">
      <c r="A922">
        <v>22</v>
      </c>
      <c r="B922">
        <v>2017</v>
      </c>
      <c r="C922">
        <v>1</v>
      </c>
      <c r="D922" t="s">
        <v>176</v>
      </c>
      <c r="E922" t="s">
        <v>348</v>
      </c>
      <c r="F922" t="s">
        <v>283</v>
      </c>
      <c r="G922" t="s">
        <v>284</v>
      </c>
      <c r="H922" s="4">
        <v>21</v>
      </c>
      <c r="I922" t="str">
        <f t="shared" si="14"/>
        <v>Paralonchurus braziliensisBanded croaker</v>
      </c>
    </row>
    <row r="923" spans="1:9" x14ac:dyDescent="0.35">
      <c r="A923">
        <v>22</v>
      </c>
      <c r="B923">
        <v>2017</v>
      </c>
      <c r="C923">
        <v>1</v>
      </c>
      <c r="D923" t="s">
        <v>176</v>
      </c>
      <c r="E923" t="s">
        <v>348</v>
      </c>
      <c r="F923" t="s">
        <v>283</v>
      </c>
      <c r="G923" t="s">
        <v>284</v>
      </c>
      <c r="H923" s="4">
        <v>16</v>
      </c>
      <c r="I923" t="str">
        <f t="shared" si="14"/>
        <v>Paralonchurus braziliensisBanded croaker</v>
      </c>
    </row>
    <row r="924" spans="1:9" x14ac:dyDescent="0.35">
      <c r="A924">
        <v>22</v>
      </c>
      <c r="B924">
        <v>2017</v>
      </c>
      <c r="C924">
        <v>1</v>
      </c>
      <c r="D924" t="s">
        <v>176</v>
      </c>
      <c r="E924" t="s">
        <v>348</v>
      </c>
      <c r="F924" t="s">
        <v>283</v>
      </c>
      <c r="G924" t="s">
        <v>284</v>
      </c>
      <c r="H924" s="4">
        <v>16</v>
      </c>
      <c r="I924" t="str">
        <f t="shared" si="14"/>
        <v>Paralonchurus braziliensisBanded croaker</v>
      </c>
    </row>
    <row r="925" spans="1:9" x14ac:dyDescent="0.35">
      <c r="A925">
        <v>22</v>
      </c>
      <c r="B925">
        <v>2017</v>
      </c>
      <c r="C925">
        <v>1</v>
      </c>
      <c r="D925" t="s">
        <v>176</v>
      </c>
      <c r="E925" t="s">
        <v>348</v>
      </c>
      <c r="F925" t="s">
        <v>283</v>
      </c>
      <c r="G925" t="s">
        <v>284</v>
      </c>
      <c r="H925" s="4">
        <v>16</v>
      </c>
      <c r="I925" t="str">
        <f t="shared" si="14"/>
        <v>Paralonchurus braziliensisBanded croaker</v>
      </c>
    </row>
    <row r="926" spans="1:9" x14ac:dyDescent="0.35">
      <c r="A926">
        <v>22</v>
      </c>
      <c r="B926">
        <v>2017</v>
      </c>
      <c r="C926">
        <v>1</v>
      </c>
      <c r="D926" t="s">
        <v>176</v>
      </c>
      <c r="E926" t="s">
        <v>348</v>
      </c>
      <c r="F926" t="s">
        <v>283</v>
      </c>
      <c r="G926" t="s">
        <v>284</v>
      </c>
      <c r="H926" s="4">
        <v>16</v>
      </c>
      <c r="I926" t="str">
        <f t="shared" si="14"/>
        <v>Paralonchurus braziliensisBanded croaker</v>
      </c>
    </row>
    <row r="927" spans="1:9" x14ac:dyDescent="0.35">
      <c r="A927">
        <v>22</v>
      </c>
      <c r="B927">
        <v>2017</v>
      </c>
      <c r="C927">
        <v>1</v>
      </c>
      <c r="D927" t="s">
        <v>176</v>
      </c>
      <c r="E927" t="s">
        <v>348</v>
      </c>
      <c r="F927" t="s">
        <v>283</v>
      </c>
      <c r="G927" t="s">
        <v>284</v>
      </c>
      <c r="H927" s="4">
        <v>16</v>
      </c>
      <c r="I927" t="str">
        <f t="shared" si="14"/>
        <v>Paralonchurus braziliensisBanded croaker</v>
      </c>
    </row>
    <row r="928" spans="1:9" x14ac:dyDescent="0.35">
      <c r="A928">
        <v>22</v>
      </c>
      <c r="B928">
        <v>2017</v>
      </c>
      <c r="C928">
        <v>1</v>
      </c>
      <c r="D928" t="s">
        <v>176</v>
      </c>
      <c r="E928" t="s">
        <v>348</v>
      </c>
      <c r="F928" t="s">
        <v>283</v>
      </c>
      <c r="G928" t="s">
        <v>284</v>
      </c>
      <c r="H928" s="4">
        <v>16</v>
      </c>
      <c r="I928" t="str">
        <f t="shared" si="14"/>
        <v>Paralonchurus braziliensisBanded croaker</v>
      </c>
    </row>
    <row r="929" spans="1:9" x14ac:dyDescent="0.35">
      <c r="A929">
        <v>22</v>
      </c>
      <c r="B929">
        <v>2017</v>
      </c>
      <c r="C929">
        <v>1</v>
      </c>
      <c r="D929" t="s">
        <v>176</v>
      </c>
      <c r="E929" t="s">
        <v>348</v>
      </c>
      <c r="F929" t="s">
        <v>283</v>
      </c>
      <c r="G929" t="s">
        <v>284</v>
      </c>
      <c r="H929" s="4">
        <v>16</v>
      </c>
      <c r="I929" t="str">
        <f t="shared" si="14"/>
        <v>Paralonchurus braziliensisBanded croaker</v>
      </c>
    </row>
    <row r="930" spans="1:9" x14ac:dyDescent="0.35">
      <c r="A930">
        <v>22</v>
      </c>
      <c r="B930">
        <v>2017</v>
      </c>
      <c r="C930">
        <v>1</v>
      </c>
      <c r="D930" t="s">
        <v>176</v>
      </c>
      <c r="E930" t="s">
        <v>348</v>
      </c>
      <c r="F930" t="s">
        <v>283</v>
      </c>
      <c r="G930" t="s">
        <v>284</v>
      </c>
      <c r="H930" s="4">
        <v>16</v>
      </c>
      <c r="I930" t="str">
        <f t="shared" si="14"/>
        <v>Paralonchurus braziliensisBanded croaker</v>
      </c>
    </row>
    <row r="931" spans="1:9" x14ac:dyDescent="0.35">
      <c r="A931">
        <v>22</v>
      </c>
      <c r="B931">
        <v>2017</v>
      </c>
      <c r="C931">
        <v>1</v>
      </c>
      <c r="D931" t="s">
        <v>176</v>
      </c>
      <c r="E931" t="s">
        <v>348</v>
      </c>
      <c r="F931" t="s">
        <v>283</v>
      </c>
      <c r="G931" t="s">
        <v>284</v>
      </c>
      <c r="H931" s="4">
        <v>16</v>
      </c>
      <c r="I931" t="str">
        <f t="shared" si="14"/>
        <v>Paralonchurus braziliensisBanded croaker</v>
      </c>
    </row>
    <row r="932" spans="1:9" x14ac:dyDescent="0.35">
      <c r="A932">
        <v>22</v>
      </c>
      <c r="B932">
        <v>2017</v>
      </c>
      <c r="C932">
        <v>1</v>
      </c>
      <c r="D932" t="s">
        <v>176</v>
      </c>
      <c r="E932" t="s">
        <v>348</v>
      </c>
      <c r="F932" t="s">
        <v>283</v>
      </c>
      <c r="G932" t="s">
        <v>284</v>
      </c>
      <c r="H932" s="4">
        <v>16</v>
      </c>
      <c r="I932" t="str">
        <f t="shared" si="14"/>
        <v>Paralonchurus braziliensisBanded croaker</v>
      </c>
    </row>
    <row r="933" spans="1:9" x14ac:dyDescent="0.35">
      <c r="A933">
        <v>22</v>
      </c>
      <c r="B933">
        <v>2017</v>
      </c>
      <c r="C933">
        <v>1</v>
      </c>
      <c r="D933" t="s">
        <v>176</v>
      </c>
      <c r="E933" t="s">
        <v>348</v>
      </c>
      <c r="F933" t="s">
        <v>283</v>
      </c>
      <c r="G933" t="s">
        <v>284</v>
      </c>
      <c r="H933" s="4">
        <v>15</v>
      </c>
      <c r="I933" t="str">
        <f t="shared" si="14"/>
        <v>Paralonchurus braziliensisBanded croaker</v>
      </c>
    </row>
    <row r="934" spans="1:9" x14ac:dyDescent="0.35">
      <c r="A934">
        <v>22</v>
      </c>
      <c r="B934">
        <v>2017</v>
      </c>
      <c r="C934">
        <v>1</v>
      </c>
      <c r="D934" t="s">
        <v>176</v>
      </c>
      <c r="E934" t="s">
        <v>348</v>
      </c>
      <c r="F934" t="s">
        <v>283</v>
      </c>
      <c r="G934" t="s">
        <v>284</v>
      </c>
      <c r="H934" s="4">
        <v>15</v>
      </c>
      <c r="I934" t="str">
        <f t="shared" si="14"/>
        <v>Paralonchurus braziliensisBanded croaker</v>
      </c>
    </row>
    <row r="935" spans="1:9" x14ac:dyDescent="0.35">
      <c r="A935">
        <v>22</v>
      </c>
      <c r="B935">
        <v>2017</v>
      </c>
      <c r="C935">
        <v>1</v>
      </c>
      <c r="D935" t="s">
        <v>176</v>
      </c>
      <c r="E935" t="s">
        <v>348</v>
      </c>
      <c r="F935" t="s">
        <v>283</v>
      </c>
      <c r="G935" t="s">
        <v>284</v>
      </c>
      <c r="H935" s="4">
        <v>15</v>
      </c>
      <c r="I935" t="str">
        <f t="shared" si="14"/>
        <v>Paralonchurus braziliensisBanded croaker</v>
      </c>
    </row>
    <row r="936" spans="1:9" x14ac:dyDescent="0.35">
      <c r="A936">
        <v>22</v>
      </c>
      <c r="B936">
        <v>2017</v>
      </c>
      <c r="C936">
        <v>1</v>
      </c>
      <c r="D936" t="s">
        <v>176</v>
      </c>
      <c r="E936" t="s">
        <v>348</v>
      </c>
      <c r="F936" t="s">
        <v>283</v>
      </c>
      <c r="G936" t="s">
        <v>284</v>
      </c>
      <c r="H936" s="4">
        <v>15</v>
      </c>
      <c r="I936" t="str">
        <f t="shared" si="14"/>
        <v>Paralonchurus braziliensisBanded croaker</v>
      </c>
    </row>
    <row r="937" spans="1:9" x14ac:dyDescent="0.35">
      <c r="A937">
        <v>22</v>
      </c>
      <c r="B937">
        <v>2017</v>
      </c>
      <c r="C937">
        <v>1</v>
      </c>
      <c r="D937" t="s">
        <v>176</v>
      </c>
      <c r="E937" t="s">
        <v>348</v>
      </c>
      <c r="F937" t="s">
        <v>283</v>
      </c>
      <c r="G937" t="s">
        <v>284</v>
      </c>
      <c r="H937" s="4">
        <v>15</v>
      </c>
      <c r="I937" t="str">
        <f t="shared" si="14"/>
        <v>Paralonchurus braziliensisBanded croaker</v>
      </c>
    </row>
    <row r="938" spans="1:9" x14ac:dyDescent="0.35">
      <c r="A938">
        <v>22</v>
      </c>
      <c r="B938">
        <v>2017</v>
      </c>
      <c r="C938">
        <v>1</v>
      </c>
      <c r="D938" t="s">
        <v>176</v>
      </c>
      <c r="E938" t="s">
        <v>348</v>
      </c>
      <c r="F938" t="s">
        <v>283</v>
      </c>
      <c r="G938" t="s">
        <v>284</v>
      </c>
      <c r="H938" s="4">
        <v>15</v>
      </c>
      <c r="I938" t="str">
        <f t="shared" si="14"/>
        <v>Paralonchurus braziliensisBanded croaker</v>
      </c>
    </row>
    <row r="939" spans="1:9" x14ac:dyDescent="0.35">
      <c r="A939">
        <v>22</v>
      </c>
      <c r="B939">
        <v>2017</v>
      </c>
      <c r="C939">
        <v>1</v>
      </c>
      <c r="D939" t="s">
        <v>176</v>
      </c>
      <c r="E939" t="s">
        <v>348</v>
      </c>
      <c r="F939" t="s">
        <v>283</v>
      </c>
      <c r="G939" t="s">
        <v>284</v>
      </c>
      <c r="H939" s="4">
        <v>25</v>
      </c>
      <c r="I939" t="str">
        <f t="shared" si="14"/>
        <v>Paralonchurus braziliensisBanded croaker</v>
      </c>
    </row>
    <row r="940" spans="1:9" x14ac:dyDescent="0.35">
      <c r="A940">
        <v>22</v>
      </c>
      <c r="B940">
        <v>2017</v>
      </c>
      <c r="C940">
        <v>1</v>
      </c>
      <c r="D940" t="s">
        <v>176</v>
      </c>
      <c r="E940" t="s">
        <v>348</v>
      </c>
      <c r="F940" t="s">
        <v>283</v>
      </c>
      <c r="G940" t="s">
        <v>284</v>
      </c>
      <c r="H940" s="4">
        <v>14</v>
      </c>
      <c r="I940" t="str">
        <f t="shared" si="14"/>
        <v>Paralonchurus braziliensisBanded croaker</v>
      </c>
    </row>
    <row r="941" spans="1:9" x14ac:dyDescent="0.35">
      <c r="A941">
        <v>22</v>
      </c>
      <c r="B941">
        <v>2017</v>
      </c>
      <c r="C941">
        <v>1</v>
      </c>
      <c r="D941" t="s">
        <v>176</v>
      </c>
      <c r="E941" t="s">
        <v>348</v>
      </c>
      <c r="F941" t="s">
        <v>283</v>
      </c>
      <c r="G941" t="s">
        <v>284</v>
      </c>
      <c r="H941" s="4">
        <v>14</v>
      </c>
      <c r="I941" t="str">
        <f t="shared" si="14"/>
        <v>Paralonchurus braziliensisBanded croaker</v>
      </c>
    </row>
    <row r="942" spans="1:9" x14ac:dyDescent="0.35">
      <c r="A942">
        <v>22</v>
      </c>
      <c r="B942">
        <v>2017</v>
      </c>
      <c r="C942">
        <v>1</v>
      </c>
      <c r="D942" t="s">
        <v>176</v>
      </c>
      <c r="E942" t="s">
        <v>348</v>
      </c>
      <c r="F942" t="s">
        <v>283</v>
      </c>
      <c r="G942" t="s">
        <v>284</v>
      </c>
      <c r="H942" s="4">
        <v>14</v>
      </c>
      <c r="I942" t="str">
        <f t="shared" si="14"/>
        <v>Paralonchurus braziliensisBanded croaker</v>
      </c>
    </row>
    <row r="943" spans="1:9" x14ac:dyDescent="0.35">
      <c r="A943">
        <v>22</v>
      </c>
      <c r="B943">
        <v>2017</v>
      </c>
      <c r="C943">
        <v>1</v>
      </c>
      <c r="D943" t="s">
        <v>176</v>
      </c>
      <c r="E943" t="s">
        <v>348</v>
      </c>
      <c r="F943" t="s">
        <v>283</v>
      </c>
      <c r="G943" t="s">
        <v>284</v>
      </c>
      <c r="H943" s="4">
        <v>14</v>
      </c>
      <c r="I943" t="str">
        <f t="shared" si="14"/>
        <v>Paralonchurus braziliensisBanded croaker</v>
      </c>
    </row>
    <row r="944" spans="1:9" x14ac:dyDescent="0.35">
      <c r="A944">
        <v>22</v>
      </c>
      <c r="B944">
        <v>2017</v>
      </c>
      <c r="C944">
        <v>1</v>
      </c>
      <c r="D944" t="s">
        <v>176</v>
      </c>
      <c r="E944" t="s">
        <v>348</v>
      </c>
      <c r="F944" t="s">
        <v>283</v>
      </c>
      <c r="G944" t="s">
        <v>284</v>
      </c>
      <c r="H944" s="4">
        <v>14</v>
      </c>
      <c r="I944" t="str">
        <f t="shared" si="14"/>
        <v>Paralonchurus braziliensisBanded croaker</v>
      </c>
    </row>
    <row r="945" spans="1:9" x14ac:dyDescent="0.35">
      <c r="A945">
        <v>22</v>
      </c>
      <c r="B945">
        <v>2017</v>
      </c>
      <c r="C945">
        <v>1</v>
      </c>
      <c r="D945" t="s">
        <v>176</v>
      </c>
      <c r="E945" t="s">
        <v>348</v>
      </c>
      <c r="F945" t="s">
        <v>283</v>
      </c>
      <c r="G945" t="s">
        <v>284</v>
      </c>
      <c r="H945" s="4">
        <v>14</v>
      </c>
      <c r="I945" t="str">
        <f t="shared" si="14"/>
        <v>Paralonchurus braziliensisBanded croaker</v>
      </c>
    </row>
    <row r="946" spans="1:9" x14ac:dyDescent="0.35">
      <c r="A946">
        <v>22</v>
      </c>
      <c r="B946">
        <v>2017</v>
      </c>
      <c r="C946">
        <v>1</v>
      </c>
      <c r="D946" t="s">
        <v>176</v>
      </c>
      <c r="E946" t="s">
        <v>348</v>
      </c>
      <c r="F946" t="s">
        <v>283</v>
      </c>
      <c r="G946" t="s">
        <v>284</v>
      </c>
      <c r="H946" s="4">
        <v>14</v>
      </c>
      <c r="I946" t="str">
        <f t="shared" si="14"/>
        <v>Paralonchurus braziliensisBanded croaker</v>
      </c>
    </row>
    <row r="947" spans="1:9" x14ac:dyDescent="0.35">
      <c r="A947">
        <v>22</v>
      </c>
      <c r="B947">
        <v>2017</v>
      </c>
      <c r="C947">
        <v>1</v>
      </c>
      <c r="D947" t="s">
        <v>176</v>
      </c>
      <c r="E947" t="s">
        <v>348</v>
      </c>
      <c r="F947" t="s">
        <v>283</v>
      </c>
      <c r="G947" t="s">
        <v>284</v>
      </c>
      <c r="H947" s="4">
        <v>17</v>
      </c>
      <c r="I947" t="str">
        <f t="shared" si="14"/>
        <v>Paralonchurus braziliensisBanded croaker</v>
      </c>
    </row>
    <row r="948" spans="1:9" x14ac:dyDescent="0.35">
      <c r="A948">
        <v>22</v>
      </c>
      <c r="B948">
        <v>2017</v>
      </c>
      <c r="C948">
        <v>1</v>
      </c>
      <c r="D948" t="s">
        <v>176</v>
      </c>
      <c r="E948" t="s">
        <v>348</v>
      </c>
      <c r="F948" t="s">
        <v>283</v>
      </c>
      <c r="G948" t="s">
        <v>284</v>
      </c>
      <c r="H948" s="4">
        <v>17</v>
      </c>
      <c r="I948" t="str">
        <f t="shared" si="14"/>
        <v>Paralonchurus braziliensisBanded croaker</v>
      </c>
    </row>
    <row r="949" spans="1:9" x14ac:dyDescent="0.35">
      <c r="A949">
        <v>22</v>
      </c>
      <c r="B949">
        <v>2017</v>
      </c>
      <c r="C949">
        <v>1</v>
      </c>
      <c r="D949" t="s">
        <v>176</v>
      </c>
      <c r="E949" t="s">
        <v>348</v>
      </c>
      <c r="F949" t="s">
        <v>283</v>
      </c>
      <c r="G949" t="s">
        <v>284</v>
      </c>
      <c r="H949" s="4">
        <v>13</v>
      </c>
      <c r="I949" t="str">
        <f t="shared" si="14"/>
        <v>Paralonchurus braziliensisBanded croaker</v>
      </c>
    </row>
    <row r="950" spans="1:9" x14ac:dyDescent="0.35">
      <c r="A950">
        <v>22</v>
      </c>
      <c r="B950">
        <v>2017</v>
      </c>
      <c r="C950">
        <v>1</v>
      </c>
      <c r="D950" t="s">
        <v>176</v>
      </c>
      <c r="E950" t="s">
        <v>348</v>
      </c>
      <c r="F950" t="s">
        <v>283</v>
      </c>
      <c r="G950" t="s">
        <v>284</v>
      </c>
      <c r="H950" s="4">
        <v>18</v>
      </c>
      <c r="I950" t="str">
        <f t="shared" si="14"/>
        <v>Paralonchurus braziliensisBanded croaker</v>
      </c>
    </row>
    <row r="951" spans="1:9" x14ac:dyDescent="0.35">
      <c r="A951">
        <v>22</v>
      </c>
      <c r="B951">
        <v>2017</v>
      </c>
      <c r="C951">
        <v>1</v>
      </c>
      <c r="D951" t="s">
        <v>176</v>
      </c>
      <c r="E951" t="s">
        <v>348</v>
      </c>
      <c r="F951" t="s">
        <v>283</v>
      </c>
      <c r="G951" t="s">
        <v>284</v>
      </c>
      <c r="H951" s="4">
        <v>18</v>
      </c>
      <c r="I951" t="str">
        <f t="shared" si="14"/>
        <v>Paralonchurus braziliensisBanded croaker</v>
      </c>
    </row>
    <row r="952" spans="1:9" x14ac:dyDescent="0.35">
      <c r="A952">
        <v>22</v>
      </c>
      <c r="B952">
        <v>2017</v>
      </c>
      <c r="C952">
        <v>1</v>
      </c>
      <c r="D952" t="s">
        <v>176</v>
      </c>
      <c r="E952" t="s">
        <v>348</v>
      </c>
      <c r="F952" t="s">
        <v>283</v>
      </c>
      <c r="G952" t="s">
        <v>284</v>
      </c>
      <c r="H952" s="4">
        <v>10</v>
      </c>
      <c r="I952" t="str">
        <f t="shared" si="14"/>
        <v>Paralonchurus braziliensisBanded croaker</v>
      </c>
    </row>
    <row r="953" spans="1:9" x14ac:dyDescent="0.35">
      <c r="A953">
        <v>22</v>
      </c>
      <c r="B953">
        <v>2017</v>
      </c>
      <c r="C953">
        <v>1</v>
      </c>
      <c r="D953" t="s">
        <v>176</v>
      </c>
      <c r="E953" t="s">
        <v>348</v>
      </c>
      <c r="F953" t="s">
        <v>15</v>
      </c>
      <c r="G953" t="s">
        <v>16</v>
      </c>
      <c r="H953" s="4">
        <v>23</v>
      </c>
      <c r="I953" t="str">
        <f t="shared" si="14"/>
        <v>Nebris micropsButterfish</v>
      </c>
    </row>
    <row r="954" spans="1:9" x14ac:dyDescent="0.35">
      <c r="A954">
        <v>22</v>
      </c>
      <c r="B954">
        <v>2017</v>
      </c>
      <c r="C954">
        <v>1</v>
      </c>
      <c r="D954" t="s">
        <v>176</v>
      </c>
      <c r="E954" t="s">
        <v>348</v>
      </c>
      <c r="F954" t="s">
        <v>15</v>
      </c>
      <c r="G954" t="s">
        <v>16</v>
      </c>
      <c r="H954" s="4">
        <v>26</v>
      </c>
      <c r="I954" t="str">
        <f t="shared" si="14"/>
        <v>Nebris micropsButterfish</v>
      </c>
    </row>
    <row r="955" spans="1:9" x14ac:dyDescent="0.35">
      <c r="A955">
        <v>22</v>
      </c>
      <c r="B955">
        <v>2017</v>
      </c>
      <c r="C955">
        <v>1</v>
      </c>
      <c r="D955" t="s">
        <v>176</v>
      </c>
      <c r="E955" t="s">
        <v>348</v>
      </c>
      <c r="F955" t="s">
        <v>15</v>
      </c>
      <c r="G955" t="s">
        <v>16</v>
      </c>
      <c r="H955" s="4">
        <v>26</v>
      </c>
      <c r="I955" t="str">
        <f t="shared" si="14"/>
        <v>Nebris micropsButterfish</v>
      </c>
    </row>
    <row r="956" spans="1:9" x14ac:dyDescent="0.35">
      <c r="A956">
        <v>22</v>
      </c>
      <c r="B956">
        <v>2017</v>
      </c>
      <c r="C956">
        <v>1</v>
      </c>
      <c r="D956" t="s">
        <v>176</v>
      </c>
      <c r="E956" t="s">
        <v>348</v>
      </c>
      <c r="F956" t="s">
        <v>15</v>
      </c>
      <c r="G956" t="s">
        <v>16</v>
      </c>
      <c r="H956" s="4">
        <v>17</v>
      </c>
      <c r="I956" t="str">
        <f t="shared" si="14"/>
        <v>Nebris micropsButterfish</v>
      </c>
    </row>
    <row r="957" spans="1:9" x14ac:dyDescent="0.35">
      <c r="A957">
        <v>22</v>
      </c>
      <c r="B957">
        <v>2017</v>
      </c>
      <c r="C957">
        <v>1</v>
      </c>
      <c r="D957" t="s">
        <v>176</v>
      </c>
      <c r="E957" t="s">
        <v>348</v>
      </c>
      <c r="F957" t="s">
        <v>15</v>
      </c>
      <c r="G957" t="s">
        <v>16</v>
      </c>
      <c r="H957" s="4">
        <v>17</v>
      </c>
      <c r="I957" t="str">
        <f t="shared" si="14"/>
        <v>Nebris micropsButterfish</v>
      </c>
    </row>
    <row r="958" spans="1:9" x14ac:dyDescent="0.35">
      <c r="A958">
        <v>22</v>
      </c>
      <c r="B958">
        <v>2017</v>
      </c>
      <c r="C958">
        <v>1</v>
      </c>
      <c r="D958" t="s">
        <v>176</v>
      </c>
      <c r="E958" t="s">
        <v>348</v>
      </c>
      <c r="F958" t="s">
        <v>15</v>
      </c>
      <c r="G958" t="s">
        <v>16</v>
      </c>
      <c r="H958" s="4">
        <v>17</v>
      </c>
      <c r="I958" t="str">
        <f t="shared" si="14"/>
        <v>Nebris micropsButterfish</v>
      </c>
    </row>
    <row r="959" spans="1:9" x14ac:dyDescent="0.35">
      <c r="A959">
        <v>22</v>
      </c>
      <c r="B959">
        <v>2017</v>
      </c>
      <c r="C959">
        <v>1</v>
      </c>
      <c r="D959" t="s">
        <v>176</v>
      </c>
      <c r="E959" t="s">
        <v>348</v>
      </c>
      <c r="F959" t="s">
        <v>15</v>
      </c>
      <c r="G959" t="s">
        <v>16</v>
      </c>
      <c r="H959" s="4">
        <v>17</v>
      </c>
      <c r="I959" t="str">
        <f t="shared" si="14"/>
        <v>Nebris micropsButterfish</v>
      </c>
    </row>
    <row r="960" spans="1:9" x14ac:dyDescent="0.35">
      <c r="A960">
        <v>22</v>
      </c>
      <c r="B960">
        <v>2017</v>
      </c>
      <c r="C960">
        <v>1</v>
      </c>
      <c r="D960" t="s">
        <v>176</v>
      </c>
      <c r="E960" t="s">
        <v>348</v>
      </c>
      <c r="F960" t="s">
        <v>15</v>
      </c>
      <c r="G960" t="s">
        <v>16</v>
      </c>
      <c r="H960" s="4">
        <v>18</v>
      </c>
      <c r="I960" t="str">
        <f t="shared" si="14"/>
        <v>Nebris micropsButterfish</v>
      </c>
    </row>
    <row r="961" spans="1:9" x14ac:dyDescent="0.35">
      <c r="A961">
        <v>22</v>
      </c>
      <c r="B961">
        <v>2017</v>
      </c>
      <c r="C961">
        <v>1</v>
      </c>
      <c r="D961" t="s">
        <v>176</v>
      </c>
      <c r="E961" t="s">
        <v>348</v>
      </c>
      <c r="F961" t="s">
        <v>15</v>
      </c>
      <c r="G961" t="s">
        <v>16</v>
      </c>
      <c r="H961" s="4">
        <v>18</v>
      </c>
      <c r="I961" t="str">
        <f t="shared" si="14"/>
        <v>Nebris micropsButterfish</v>
      </c>
    </row>
    <row r="962" spans="1:9" x14ac:dyDescent="0.35">
      <c r="A962">
        <v>22</v>
      </c>
      <c r="B962">
        <v>2017</v>
      </c>
      <c r="C962">
        <v>1</v>
      </c>
      <c r="D962" t="s">
        <v>176</v>
      </c>
      <c r="E962" t="s">
        <v>348</v>
      </c>
      <c r="F962" t="s">
        <v>15</v>
      </c>
      <c r="G962" t="s">
        <v>16</v>
      </c>
      <c r="H962" s="4">
        <v>19</v>
      </c>
      <c r="I962" t="str">
        <f t="shared" ref="I962:I1025" si="15">CONCATENATE(F962,G962)</f>
        <v>Nebris micropsButterfish</v>
      </c>
    </row>
    <row r="963" spans="1:9" x14ac:dyDescent="0.35">
      <c r="A963">
        <v>22</v>
      </c>
      <c r="B963">
        <v>2017</v>
      </c>
      <c r="C963">
        <v>1</v>
      </c>
      <c r="D963" t="s">
        <v>176</v>
      </c>
      <c r="E963" t="s">
        <v>348</v>
      </c>
      <c r="F963" t="s">
        <v>15</v>
      </c>
      <c r="G963" t="s">
        <v>16</v>
      </c>
      <c r="H963" s="4">
        <v>19</v>
      </c>
      <c r="I963" t="str">
        <f t="shared" si="15"/>
        <v>Nebris micropsButterfish</v>
      </c>
    </row>
    <row r="964" spans="1:9" x14ac:dyDescent="0.35">
      <c r="A964">
        <v>22</v>
      </c>
      <c r="B964">
        <v>2017</v>
      </c>
      <c r="C964">
        <v>1</v>
      </c>
      <c r="D964" t="s">
        <v>176</v>
      </c>
      <c r="E964" t="s">
        <v>348</v>
      </c>
      <c r="F964" t="s">
        <v>15</v>
      </c>
      <c r="G964" t="s">
        <v>16</v>
      </c>
      <c r="H964" s="4">
        <v>19</v>
      </c>
      <c r="I964" t="str">
        <f t="shared" si="15"/>
        <v>Nebris micropsButterfish</v>
      </c>
    </row>
    <row r="965" spans="1:9" x14ac:dyDescent="0.35">
      <c r="A965">
        <v>22</v>
      </c>
      <c r="B965">
        <v>2017</v>
      </c>
      <c r="C965">
        <v>1</v>
      </c>
      <c r="D965" t="s">
        <v>176</v>
      </c>
      <c r="E965" t="s">
        <v>348</v>
      </c>
      <c r="F965" t="s">
        <v>15</v>
      </c>
      <c r="G965" t="s">
        <v>16</v>
      </c>
      <c r="H965" s="4">
        <v>19</v>
      </c>
      <c r="I965" t="str">
        <f t="shared" si="15"/>
        <v>Nebris micropsButterfish</v>
      </c>
    </row>
    <row r="966" spans="1:9" x14ac:dyDescent="0.35">
      <c r="A966">
        <v>22</v>
      </c>
      <c r="B966">
        <v>2017</v>
      </c>
      <c r="C966">
        <v>1</v>
      </c>
      <c r="D966" t="s">
        <v>176</v>
      </c>
      <c r="E966" t="s">
        <v>348</v>
      </c>
      <c r="F966" t="s">
        <v>15</v>
      </c>
      <c r="G966" t="s">
        <v>16</v>
      </c>
      <c r="H966" s="4">
        <v>19</v>
      </c>
      <c r="I966" t="str">
        <f t="shared" si="15"/>
        <v>Nebris micropsButterfish</v>
      </c>
    </row>
    <row r="967" spans="1:9" x14ac:dyDescent="0.35">
      <c r="A967">
        <v>22</v>
      </c>
      <c r="B967">
        <v>2017</v>
      </c>
      <c r="C967">
        <v>1</v>
      </c>
      <c r="D967" t="s">
        <v>176</v>
      </c>
      <c r="E967" t="s">
        <v>348</v>
      </c>
      <c r="F967" t="s">
        <v>15</v>
      </c>
      <c r="G967" t="s">
        <v>16</v>
      </c>
      <c r="H967" s="4">
        <v>20</v>
      </c>
      <c r="I967" t="str">
        <f t="shared" si="15"/>
        <v>Nebris micropsButterfish</v>
      </c>
    </row>
    <row r="968" spans="1:9" x14ac:dyDescent="0.35">
      <c r="A968">
        <v>22</v>
      </c>
      <c r="B968">
        <v>2017</v>
      </c>
      <c r="C968">
        <v>1</v>
      </c>
      <c r="D968" t="s">
        <v>176</v>
      </c>
      <c r="E968" t="s">
        <v>348</v>
      </c>
      <c r="F968" t="s">
        <v>15</v>
      </c>
      <c r="G968" t="s">
        <v>16</v>
      </c>
      <c r="H968" s="4">
        <v>20</v>
      </c>
      <c r="I968" t="str">
        <f t="shared" si="15"/>
        <v>Nebris micropsButterfish</v>
      </c>
    </row>
    <row r="969" spans="1:9" x14ac:dyDescent="0.35">
      <c r="A969">
        <v>22</v>
      </c>
      <c r="B969">
        <v>2017</v>
      </c>
      <c r="C969">
        <v>1</v>
      </c>
      <c r="D969" t="s">
        <v>176</v>
      </c>
      <c r="E969" t="s">
        <v>348</v>
      </c>
      <c r="F969" t="s">
        <v>15</v>
      </c>
      <c r="G969" t="s">
        <v>16</v>
      </c>
      <c r="H969" s="4">
        <v>20</v>
      </c>
      <c r="I969" t="str">
        <f t="shared" si="15"/>
        <v>Nebris micropsButterfish</v>
      </c>
    </row>
    <row r="970" spans="1:9" x14ac:dyDescent="0.35">
      <c r="A970">
        <v>22</v>
      </c>
      <c r="B970">
        <v>2017</v>
      </c>
      <c r="C970">
        <v>1</v>
      </c>
      <c r="D970" t="s">
        <v>176</v>
      </c>
      <c r="E970" t="s">
        <v>348</v>
      </c>
      <c r="F970" t="s">
        <v>15</v>
      </c>
      <c r="G970" t="s">
        <v>16</v>
      </c>
      <c r="H970" s="4">
        <v>20</v>
      </c>
      <c r="I970" t="str">
        <f t="shared" si="15"/>
        <v>Nebris micropsButterfish</v>
      </c>
    </row>
    <row r="971" spans="1:9" x14ac:dyDescent="0.35">
      <c r="A971">
        <v>22</v>
      </c>
      <c r="B971">
        <v>2017</v>
      </c>
      <c r="C971">
        <v>1</v>
      </c>
      <c r="D971" t="s">
        <v>176</v>
      </c>
      <c r="E971" t="s">
        <v>348</v>
      </c>
      <c r="F971" t="s">
        <v>15</v>
      </c>
      <c r="G971" t="s">
        <v>16</v>
      </c>
      <c r="H971" s="4">
        <v>22</v>
      </c>
      <c r="I971" t="str">
        <f t="shared" si="15"/>
        <v>Nebris micropsButterfish</v>
      </c>
    </row>
    <row r="972" spans="1:9" x14ac:dyDescent="0.35">
      <c r="A972">
        <v>22</v>
      </c>
      <c r="B972">
        <v>2017</v>
      </c>
      <c r="C972">
        <v>1</v>
      </c>
      <c r="D972" t="s">
        <v>176</v>
      </c>
      <c r="E972" t="s">
        <v>348</v>
      </c>
      <c r="F972" t="s">
        <v>15</v>
      </c>
      <c r="G972" t="s">
        <v>16</v>
      </c>
      <c r="H972" s="4">
        <v>22</v>
      </c>
      <c r="I972" t="str">
        <f t="shared" si="15"/>
        <v>Nebris micropsButterfish</v>
      </c>
    </row>
    <row r="973" spans="1:9" x14ac:dyDescent="0.35">
      <c r="A973">
        <v>22</v>
      </c>
      <c r="B973">
        <v>2017</v>
      </c>
      <c r="C973">
        <v>1</v>
      </c>
      <c r="D973" t="s">
        <v>176</v>
      </c>
      <c r="E973" t="s">
        <v>348</v>
      </c>
      <c r="F973" t="s">
        <v>15</v>
      </c>
      <c r="G973" t="s">
        <v>16</v>
      </c>
      <c r="H973" s="4">
        <v>22</v>
      </c>
      <c r="I973" t="str">
        <f t="shared" si="15"/>
        <v>Nebris micropsButterfish</v>
      </c>
    </row>
    <row r="974" spans="1:9" x14ac:dyDescent="0.35">
      <c r="A974">
        <v>22</v>
      </c>
      <c r="B974">
        <v>2017</v>
      </c>
      <c r="C974">
        <v>1</v>
      </c>
      <c r="D974" t="s">
        <v>176</v>
      </c>
      <c r="E974" t="s">
        <v>348</v>
      </c>
      <c r="F974" t="s">
        <v>15</v>
      </c>
      <c r="G974" t="s">
        <v>16</v>
      </c>
      <c r="H974" s="4">
        <v>22</v>
      </c>
      <c r="I974" t="str">
        <f t="shared" si="15"/>
        <v>Nebris micropsButterfish</v>
      </c>
    </row>
    <row r="975" spans="1:9" x14ac:dyDescent="0.35">
      <c r="A975">
        <v>22</v>
      </c>
      <c r="B975">
        <v>2017</v>
      </c>
      <c r="C975">
        <v>1</v>
      </c>
      <c r="D975" t="s">
        <v>176</v>
      </c>
      <c r="E975" t="s">
        <v>348</v>
      </c>
      <c r="F975" t="s">
        <v>15</v>
      </c>
      <c r="G975" t="s">
        <v>16</v>
      </c>
      <c r="H975" s="4">
        <v>14</v>
      </c>
      <c r="I975" t="str">
        <f t="shared" si="15"/>
        <v>Nebris micropsButterfish</v>
      </c>
    </row>
    <row r="976" spans="1:9" x14ac:dyDescent="0.35">
      <c r="A976">
        <v>22</v>
      </c>
      <c r="B976">
        <v>2017</v>
      </c>
      <c r="C976">
        <v>1</v>
      </c>
      <c r="D976" t="s">
        <v>176</v>
      </c>
      <c r="E976" t="s">
        <v>348</v>
      </c>
      <c r="F976" t="s">
        <v>15</v>
      </c>
      <c r="G976" t="s">
        <v>16</v>
      </c>
      <c r="H976" s="4">
        <v>14</v>
      </c>
      <c r="I976" t="str">
        <f t="shared" si="15"/>
        <v>Nebris micropsButterfish</v>
      </c>
    </row>
    <row r="977" spans="1:9" x14ac:dyDescent="0.35">
      <c r="A977">
        <v>22</v>
      </c>
      <c r="B977">
        <v>2017</v>
      </c>
      <c r="C977">
        <v>1</v>
      </c>
      <c r="D977" t="s">
        <v>176</v>
      </c>
      <c r="E977" t="s">
        <v>348</v>
      </c>
      <c r="F977" t="s">
        <v>15</v>
      </c>
      <c r="G977" t="s">
        <v>16</v>
      </c>
      <c r="H977" s="4">
        <v>16</v>
      </c>
      <c r="I977" t="str">
        <f t="shared" si="15"/>
        <v>Nebris micropsButterfish</v>
      </c>
    </row>
    <row r="978" spans="1:9" x14ac:dyDescent="0.35">
      <c r="A978">
        <v>22</v>
      </c>
      <c r="B978">
        <v>2017</v>
      </c>
      <c r="C978">
        <v>1</v>
      </c>
      <c r="D978" t="s">
        <v>176</v>
      </c>
      <c r="E978" t="s">
        <v>348</v>
      </c>
      <c r="F978" t="s">
        <v>15</v>
      </c>
      <c r="G978" t="s">
        <v>16</v>
      </c>
      <c r="H978" s="4">
        <v>16</v>
      </c>
      <c r="I978" t="str">
        <f t="shared" si="15"/>
        <v>Nebris micropsButterfish</v>
      </c>
    </row>
    <row r="979" spans="1:9" x14ac:dyDescent="0.35">
      <c r="A979">
        <v>22</v>
      </c>
      <c r="B979">
        <v>2017</v>
      </c>
      <c r="C979">
        <v>1</v>
      </c>
      <c r="D979" t="s">
        <v>176</v>
      </c>
      <c r="E979" t="s">
        <v>348</v>
      </c>
      <c r="F979" t="s">
        <v>15</v>
      </c>
      <c r="G979" t="s">
        <v>16</v>
      </c>
      <c r="H979" s="4">
        <v>16</v>
      </c>
      <c r="I979" t="str">
        <f t="shared" si="15"/>
        <v>Nebris micropsButterfish</v>
      </c>
    </row>
    <row r="980" spans="1:9" x14ac:dyDescent="0.35">
      <c r="A980">
        <v>22</v>
      </c>
      <c r="B980">
        <v>2017</v>
      </c>
      <c r="C980">
        <v>1</v>
      </c>
      <c r="D980" t="s">
        <v>176</v>
      </c>
      <c r="E980" t="s">
        <v>348</v>
      </c>
      <c r="F980" t="s">
        <v>15</v>
      </c>
      <c r="G980" t="s">
        <v>16</v>
      </c>
      <c r="H980" s="4">
        <v>16</v>
      </c>
      <c r="I980" t="str">
        <f t="shared" si="15"/>
        <v>Nebris micropsButterfish</v>
      </c>
    </row>
    <row r="981" spans="1:9" x14ac:dyDescent="0.35">
      <c r="A981">
        <v>22</v>
      </c>
      <c r="B981">
        <v>2017</v>
      </c>
      <c r="C981">
        <v>1</v>
      </c>
      <c r="D981" t="s">
        <v>176</v>
      </c>
      <c r="E981" t="s">
        <v>348</v>
      </c>
      <c r="F981" t="s">
        <v>15</v>
      </c>
      <c r="G981" t="s">
        <v>16</v>
      </c>
      <c r="H981" s="4">
        <v>21</v>
      </c>
      <c r="I981" t="str">
        <f t="shared" si="15"/>
        <v>Nebris micropsButterfish</v>
      </c>
    </row>
    <row r="982" spans="1:9" x14ac:dyDescent="0.35">
      <c r="A982">
        <v>22</v>
      </c>
      <c r="B982">
        <v>2017</v>
      </c>
      <c r="C982">
        <v>1</v>
      </c>
      <c r="D982" t="s">
        <v>176</v>
      </c>
      <c r="E982" t="s">
        <v>348</v>
      </c>
      <c r="F982" t="s">
        <v>15</v>
      </c>
      <c r="G982" t="s">
        <v>16</v>
      </c>
      <c r="H982" s="4">
        <v>15</v>
      </c>
      <c r="I982" t="str">
        <f t="shared" si="15"/>
        <v>Nebris micropsButterfish</v>
      </c>
    </row>
    <row r="983" spans="1:9" x14ac:dyDescent="0.35">
      <c r="A983">
        <v>22</v>
      </c>
      <c r="B983">
        <v>2017</v>
      </c>
      <c r="C983">
        <v>1</v>
      </c>
      <c r="D983" t="s">
        <v>176</v>
      </c>
      <c r="E983" t="s">
        <v>348</v>
      </c>
      <c r="F983" t="s">
        <v>15</v>
      </c>
      <c r="G983" t="s">
        <v>16</v>
      </c>
      <c r="H983" s="4">
        <v>13</v>
      </c>
      <c r="I983" t="str">
        <f t="shared" si="15"/>
        <v>Nebris micropsButterfish</v>
      </c>
    </row>
    <row r="984" spans="1:9" x14ac:dyDescent="0.35">
      <c r="A984">
        <v>22</v>
      </c>
      <c r="B984">
        <v>2017</v>
      </c>
      <c r="C984">
        <v>1</v>
      </c>
      <c r="D984" t="s">
        <v>176</v>
      </c>
      <c r="E984" t="s">
        <v>348</v>
      </c>
      <c r="F984" t="s">
        <v>15</v>
      </c>
      <c r="G984" t="s">
        <v>16</v>
      </c>
      <c r="H984" s="4">
        <v>13</v>
      </c>
      <c r="I984" t="str">
        <f t="shared" si="15"/>
        <v>Nebris micropsButterfish</v>
      </c>
    </row>
    <row r="985" spans="1:9" x14ac:dyDescent="0.35">
      <c r="A985">
        <v>22</v>
      </c>
      <c r="B985">
        <v>2017</v>
      </c>
      <c r="C985">
        <v>1</v>
      </c>
      <c r="D985" t="s">
        <v>176</v>
      </c>
      <c r="E985" t="s">
        <v>348</v>
      </c>
      <c r="F985" t="s">
        <v>21</v>
      </c>
      <c r="G985" t="s">
        <v>59</v>
      </c>
      <c r="H985" s="4">
        <v>16</v>
      </c>
      <c r="I985" t="str">
        <f t="shared" si="15"/>
        <v>Stellifer micropsRockhead</v>
      </c>
    </row>
    <row r="986" spans="1:9" x14ac:dyDescent="0.35">
      <c r="A986">
        <v>22</v>
      </c>
      <c r="B986">
        <v>2017</v>
      </c>
      <c r="C986">
        <v>1</v>
      </c>
      <c r="D986" t="s">
        <v>176</v>
      </c>
      <c r="E986" t="s">
        <v>348</v>
      </c>
      <c r="F986" t="s">
        <v>21</v>
      </c>
      <c r="G986" t="s">
        <v>59</v>
      </c>
      <c r="H986" s="4">
        <v>14</v>
      </c>
      <c r="I986" t="str">
        <f t="shared" si="15"/>
        <v>Stellifer micropsRockhead</v>
      </c>
    </row>
    <row r="987" spans="1:9" x14ac:dyDescent="0.35">
      <c r="A987">
        <v>22</v>
      </c>
      <c r="B987">
        <v>2017</v>
      </c>
      <c r="C987">
        <v>1</v>
      </c>
      <c r="D987" t="s">
        <v>176</v>
      </c>
      <c r="E987" t="s">
        <v>348</v>
      </c>
      <c r="F987" t="s">
        <v>21</v>
      </c>
      <c r="G987" t="s">
        <v>59</v>
      </c>
      <c r="H987" s="4">
        <v>14</v>
      </c>
      <c r="I987" t="str">
        <f t="shared" si="15"/>
        <v>Stellifer micropsRockhead</v>
      </c>
    </row>
    <row r="988" spans="1:9" x14ac:dyDescent="0.35">
      <c r="A988">
        <v>22</v>
      </c>
      <c r="B988">
        <v>2017</v>
      </c>
      <c r="C988">
        <v>1</v>
      </c>
      <c r="D988" t="s">
        <v>176</v>
      </c>
      <c r="E988" t="s">
        <v>348</v>
      </c>
      <c r="F988" t="s">
        <v>21</v>
      </c>
      <c r="G988" t="s">
        <v>59</v>
      </c>
      <c r="H988" s="4">
        <v>15</v>
      </c>
      <c r="I988" t="str">
        <f t="shared" si="15"/>
        <v>Stellifer micropsRockhead</v>
      </c>
    </row>
    <row r="989" spans="1:9" x14ac:dyDescent="0.35">
      <c r="A989">
        <v>22</v>
      </c>
      <c r="B989">
        <v>2017</v>
      </c>
      <c r="C989">
        <v>1</v>
      </c>
      <c r="D989" t="s">
        <v>176</v>
      </c>
      <c r="E989" t="s">
        <v>348</v>
      </c>
      <c r="F989" t="s">
        <v>21</v>
      </c>
      <c r="G989" t="s">
        <v>59</v>
      </c>
      <c r="H989" s="4">
        <v>14</v>
      </c>
      <c r="I989" t="str">
        <f t="shared" si="15"/>
        <v>Stellifer micropsRockhead</v>
      </c>
    </row>
    <row r="990" spans="1:9" x14ac:dyDescent="0.35">
      <c r="A990">
        <v>22</v>
      </c>
      <c r="B990">
        <v>2017</v>
      </c>
      <c r="C990">
        <v>1</v>
      </c>
      <c r="D990" t="s">
        <v>176</v>
      </c>
      <c r="E990" t="s">
        <v>348</v>
      </c>
      <c r="F990" t="s">
        <v>21</v>
      </c>
      <c r="G990" t="s">
        <v>59</v>
      </c>
      <c r="H990" s="4">
        <v>13</v>
      </c>
      <c r="I990" t="str">
        <f t="shared" si="15"/>
        <v>Stellifer micropsRockhead</v>
      </c>
    </row>
    <row r="991" spans="1:9" x14ac:dyDescent="0.35">
      <c r="A991">
        <v>22</v>
      </c>
      <c r="B991">
        <v>2017</v>
      </c>
      <c r="C991">
        <v>1</v>
      </c>
      <c r="D991" t="s">
        <v>176</v>
      </c>
      <c r="E991" t="s">
        <v>348</v>
      </c>
      <c r="F991" t="s">
        <v>21</v>
      </c>
      <c r="G991" t="s">
        <v>59</v>
      </c>
      <c r="H991" s="4">
        <v>13</v>
      </c>
      <c r="I991" t="str">
        <f t="shared" si="15"/>
        <v>Stellifer micropsRockhead</v>
      </c>
    </row>
    <row r="992" spans="1:9" x14ac:dyDescent="0.35">
      <c r="A992">
        <v>22</v>
      </c>
      <c r="B992">
        <v>2017</v>
      </c>
      <c r="C992">
        <v>1</v>
      </c>
      <c r="D992" t="s">
        <v>176</v>
      </c>
      <c r="E992" t="s">
        <v>348</v>
      </c>
      <c r="F992" t="s">
        <v>21</v>
      </c>
      <c r="G992" t="s">
        <v>59</v>
      </c>
      <c r="H992" s="4">
        <v>15</v>
      </c>
      <c r="I992" t="str">
        <f t="shared" si="15"/>
        <v>Stellifer micropsRockhead</v>
      </c>
    </row>
    <row r="993" spans="1:9" x14ac:dyDescent="0.35">
      <c r="A993">
        <v>22</v>
      </c>
      <c r="B993">
        <v>2017</v>
      </c>
      <c r="C993">
        <v>1</v>
      </c>
      <c r="D993" t="s">
        <v>176</v>
      </c>
      <c r="E993" t="s">
        <v>348</v>
      </c>
      <c r="F993" t="s">
        <v>21</v>
      </c>
      <c r="G993" t="s">
        <v>59</v>
      </c>
      <c r="H993" s="4">
        <v>13</v>
      </c>
      <c r="I993" t="str">
        <f t="shared" si="15"/>
        <v>Stellifer micropsRockhead</v>
      </c>
    </row>
    <row r="994" spans="1:9" x14ac:dyDescent="0.35">
      <c r="A994">
        <v>22</v>
      </c>
      <c r="B994">
        <v>2017</v>
      </c>
      <c r="C994">
        <v>1</v>
      </c>
      <c r="D994" t="s">
        <v>176</v>
      </c>
      <c r="E994" t="s">
        <v>348</v>
      </c>
      <c r="F994" t="s">
        <v>21</v>
      </c>
      <c r="G994" t="s">
        <v>59</v>
      </c>
      <c r="H994" s="4">
        <v>15</v>
      </c>
      <c r="I994" t="str">
        <f t="shared" si="15"/>
        <v>Stellifer micropsRockhead</v>
      </c>
    </row>
    <row r="995" spans="1:9" x14ac:dyDescent="0.35">
      <c r="A995">
        <v>22</v>
      </c>
      <c r="B995">
        <v>2017</v>
      </c>
      <c r="C995">
        <v>1</v>
      </c>
      <c r="D995" t="s">
        <v>176</v>
      </c>
      <c r="E995" t="s">
        <v>348</v>
      </c>
      <c r="F995" t="s">
        <v>21</v>
      </c>
      <c r="G995" t="s">
        <v>59</v>
      </c>
      <c r="H995" s="4">
        <v>15</v>
      </c>
      <c r="I995" t="str">
        <f t="shared" si="15"/>
        <v>Stellifer micropsRockhead</v>
      </c>
    </row>
    <row r="996" spans="1:9" x14ac:dyDescent="0.35">
      <c r="A996">
        <v>22</v>
      </c>
      <c r="B996">
        <v>2017</v>
      </c>
      <c r="C996">
        <v>1</v>
      </c>
      <c r="D996" t="s">
        <v>176</v>
      </c>
      <c r="E996" t="s">
        <v>348</v>
      </c>
      <c r="F996" t="s">
        <v>21</v>
      </c>
      <c r="G996" t="s">
        <v>59</v>
      </c>
      <c r="H996" s="4">
        <v>15</v>
      </c>
      <c r="I996" t="str">
        <f t="shared" si="15"/>
        <v>Stellifer micropsRockhead</v>
      </c>
    </row>
    <row r="997" spans="1:9" x14ac:dyDescent="0.35">
      <c r="A997">
        <v>22</v>
      </c>
      <c r="B997">
        <v>2017</v>
      </c>
      <c r="C997">
        <v>1</v>
      </c>
      <c r="D997" t="s">
        <v>176</v>
      </c>
      <c r="E997" t="s">
        <v>348</v>
      </c>
      <c r="F997" t="s">
        <v>21</v>
      </c>
      <c r="G997" t="s">
        <v>59</v>
      </c>
      <c r="H997" s="4">
        <v>15</v>
      </c>
      <c r="I997" t="str">
        <f t="shared" si="15"/>
        <v>Stellifer micropsRockhead</v>
      </c>
    </row>
    <row r="998" spans="1:9" x14ac:dyDescent="0.35">
      <c r="A998">
        <v>22</v>
      </c>
      <c r="B998">
        <v>2017</v>
      </c>
      <c r="C998">
        <v>1</v>
      </c>
      <c r="D998" t="s">
        <v>176</v>
      </c>
      <c r="E998" t="s">
        <v>348</v>
      </c>
      <c r="F998" t="s">
        <v>21</v>
      </c>
      <c r="G998" t="s">
        <v>59</v>
      </c>
      <c r="H998" s="4">
        <v>16</v>
      </c>
      <c r="I998" t="str">
        <f t="shared" si="15"/>
        <v>Stellifer micropsRockhead</v>
      </c>
    </row>
    <row r="999" spans="1:9" x14ac:dyDescent="0.35">
      <c r="A999">
        <v>22</v>
      </c>
      <c r="B999">
        <v>2017</v>
      </c>
      <c r="C999">
        <v>1</v>
      </c>
      <c r="D999" t="s">
        <v>176</v>
      </c>
      <c r="E999" t="s">
        <v>348</v>
      </c>
      <c r="F999" t="s">
        <v>21</v>
      </c>
      <c r="G999" t="s">
        <v>59</v>
      </c>
      <c r="H999" s="4">
        <v>15</v>
      </c>
      <c r="I999" t="str">
        <f t="shared" si="15"/>
        <v>Stellifer micropsRockhead</v>
      </c>
    </row>
    <row r="1000" spans="1:9" x14ac:dyDescent="0.35">
      <c r="A1000">
        <v>22</v>
      </c>
      <c r="B1000">
        <v>2017</v>
      </c>
      <c r="C1000">
        <v>1</v>
      </c>
      <c r="D1000" t="s">
        <v>176</v>
      </c>
      <c r="E1000" t="s">
        <v>348</v>
      </c>
      <c r="F1000" t="s">
        <v>21</v>
      </c>
      <c r="G1000" t="s">
        <v>59</v>
      </c>
      <c r="H1000" s="4">
        <v>14</v>
      </c>
      <c r="I1000" t="str">
        <f t="shared" si="15"/>
        <v>Stellifer micropsRockhead</v>
      </c>
    </row>
    <row r="1001" spans="1:9" x14ac:dyDescent="0.35">
      <c r="A1001">
        <v>22</v>
      </c>
      <c r="B1001">
        <v>2017</v>
      </c>
      <c r="C1001">
        <v>1</v>
      </c>
      <c r="D1001" t="s">
        <v>176</v>
      </c>
      <c r="E1001" t="s">
        <v>348</v>
      </c>
      <c r="F1001" t="s">
        <v>21</v>
      </c>
      <c r="G1001" t="s">
        <v>59</v>
      </c>
      <c r="H1001" s="4">
        <v>14</v>
      </c>
      <c r="I1001" t="str">
        <f t="shared" si="15"/>
        <v>Stellifer micropsRockhead</v>
      </c>
    </row>
    <row r="1002" spans="1:9" x14ac:dyDescent="0.35">
      <c r="A1002">
        <v>22</v>
      </c>
      <c r="B1002">
        <v>2017</v>
      </c>
      <c r="C1002">
        <v>1</v>
      </c>
      <c r="D1002" t="s">
        <v>176</v>
      </c>
      <c r="E1002" t="s">
        <v>348</v>
      </c>
      <c r="F1002" t="s">
        <v>21</v>
      </c>
      <c r="G1002" t="s">
        <v>59</v>
      </c>
      <c r="H1002" s="4">
        <v>10</v>
      </c>
      <c r="I1002" t="str">
        <f t="shared" si="15"/>
        <v>Stellifer micropsRockhead</v>
      </c>
    </row>
    <row r="1003" spans="1:9" x14ac:dyDescent="0.35">
      <c r="A1003">
        <v>22</v>
      </c>
      <c r="B1003">
        <v>2017</v>
      </c>
      <c r="C1003">
        <v>1</v>
      </c>
      <c r="D1003" t="s">
        <v>176</v>
      </c>
      <c r="E1003" t="s">
        <v>348</v>
      </c>
      <c r="F1003" t="s">
        <v>21</v>
      </c>
      <c r="G1003" t="s">
        <v>59</v>
      </c>
      <c r="H1003" s="4">
        <v>10</v>
      </c>
      <c r="I1003" t="str">
        <f t="shared" si="15"/>
        <v>Stellifer micropsRockhead</v>
      </c>
    </row>
    <row r="1004" spans="1:9" x14ac:dyDescent="0.35">
      <c r="A1004">
        <v>22</v>
      </c>
      <c r="B1004">
        <v>2017</v>
      </c>
      <c r="C1004">
        <v>1</v>
      </c>
      <c r="D1004" t="s">
        <v>176</v>
      </c>
      <c r="E1004" t="s">
        <v>348</v>
      </c>
      <c r="F1004" t="s">
        <v>21</v>
      </c>
      <c r="G1004" t="s">
        <v>59</v>
      </c>
      <c r="H1004" s="4">
        <v>10</v>
      </c>
      <c r="I1004" t="str">
        <f t="shared" si="15"/>
        <v>Stellifer micropsRockhead</v>
      </c>
    </row>
    <row r="1005" spans="1:9" x14ac:dyDescent="0.35">
      <c r="A1005">
        <v>22</v>
      </c>
      <c r="B1005">
        <v>2017</v>
      </c>
      <c r="C1005">
        <v>1</v>
      </c>
      <c r="D1005" t="s">
        <v>176</v>
      </c>
      <c r="E1005" t="s">
        <v>348</v>
      </c>
      <c r="F1005" t="s">
        <v>21</v>
      </c>
      <c r="G1005" t="s">
        <v>59</v>
      </c>
      <c r="H1005" s="4">
        <v>10</v>
      </c>
      <c r="I1005" t="str">
        <f t="shared" si="15"/>
        <v>Stellifer micropsRockhead</v>
      </c>
    </row>
    <row r="1006" spans="1:9" x14ac:dyDescent="0.35">
      <c r="A1006">
        <v>22</v>
      </c>
      <c r="B1006">
        <v>2017</v>
      </c>
      <c r="C1006">
        <v>1</v>
      </c>
      <c r="D1006" t="s">
        <v>176</v>
      </c>
      <c r="E1006" t="s">
        <v>348</v>
      </c>
      <c r="F1006" t="s">
        <v>21</v>
      </c>
      <c r="G1006" t="s">
        <v>59</v>
      </c>
      <c r="H1006" s="4">
        <v>16</v>
      </c>
      <c r="I1006" t="str">
        <f t="shared" si="15"/>
        <v>Stellifer micropsRockhead</v>
      </c>
    </row>
    <row r="1007" spans="1:9" x14ac:dyDescent="0.35">
      <c r="A1007">
        <v>22</v>
      </c>
      <c r="B1007">
        <v>2017</v>
      </c>
      <c r="C1007">
        <v>1</v>
      </c>
      <c r="D1007" t="s">
        <v>176</v>
      </c>
      <c r="E1007" t="s">
        <v>348</v>
      </c>
      <c r="F1007" t="s">
        <v>21</v>
      </c>
      <c r="G1007" t="s">
        <v>59</v>
      </c>
      <c r="H1007" s="4">
        <v>12</v>
      </c>
      <c r="I1007" t="str">
        <f t="shared" si="15"/>
        <v>Stellifer micropsRockhead</v>
      </c>
    </row>
    <row r="1008" spans="1:9" x14ac:dyDescent="0.35">
      <c r="A1008">
        <v>22</v>
      </c>
      <c r="B1008">
        <v>2017</v>
      </c>
      <c r="C1008">
        <v>1</v>
      </c>
      <c r="D1008" t="s">
        <v>176</v>
      </c>
      <c r="E1008" t="s">
        <v>348</v>
      </c>
      <c r="F1008" t="s">
        <v>21</v>
      </c>
      <c r="G1008" t="s">
        <v>59</v>
      </c>
      <c r="H1008" s="4">
        <v>12</v>
      </c>
      <c r="I1008" t="str">
        <f t="shared" si="15"/>
        <v>Stellifer micropsRockhead</v>
      </c>
    </row>
    <row r="1009" spans="1:9" x14ac:dyDescent="0.35">
      <c r="A1009">
        <v>22</v>
      </c>
      <c r="B1009">
        <v>2017</v>
      </c>
      <c r="C1009">
        <v>1</v>
      </c>
      <c r="D1009" t="s">
        <v>176</v>
      </c>
      <c r="E1009" t="s">
        <v>348</v>
      </c>
      <c r="F1009" t="s">
        <v>21</v>
      </c>
      <c r="G1009" t="s">
        <v>59</v>
      </c>
      <c r="H1009" s="4">
        <v>12</v>
      </c>
      <c r="I1009" t="str">
        <f t="shared" si="15"/>
        <v>Stellifer micropsRockhead</v>
      </c>
    </row>
    <row r="1010" spans="1:9" x14ac:dyDescent="0.35">
      <c r="A1010">
        <v>22</v>
      </c>
      <c r="B1010">
        <v>2017</v>
      </c>
      <c r="C1010">
        <v>1</v>
      </c>
      <c r="D1010" t="s">
        <v>176</v>
      </c>
      <c r="E1010" t="s">
        <v>348</v>
      </c>
      <c r="F1010" t="s">
        <v>21</v>
      </c>
      <c r="G1010" t="s">
        <v>59</v>
      </c>
      <c r="H1010" s="4">
        <v>12</v>
      </c>
      <c r="I1010" t="str">
        <f t="shared" si="15"/>
        <v>Stellifer micropsRockhead</v>
      </c>
    </row>
    <row r="1011" spans="1:9" x14ac:dyDescent="0.35">
      <c r="A1011">
        <v>22</v>
      </c>
      <c r="B1011">
        <v>2017</v>
      </c>
      <c r="C1011">
        <v>1</v>
      </c>
      <c r="D1011" t="s">
        <v>176</v>
      </c>
      <c r="E1011" t="s">
        <v>348</v>
      </c>
      <c r="F1011" t="s">
        <v>21</v>
      </c>
      <c r="G1011" t="s">
        <v>59</v>
      </c>
      <c r="H1011" s="4">
        <v>12</v>
      </c>
      <c r="I1011" t="str">
        <f t="shared" si="15"/>
        <v>Stellifer micropsRockhead</v>
      </c>
    </row>
    <row r="1012" spans="1:9" x14ac:dyDescent="0.35">
      <c r="A1012">
        <v>22</v>
      </c>
      <c r="B1012">
        <v>2017</v>
      </c>
      <c r="C1012">
        <v>1</v>
      </c>
      <c r="D1012" t="s">
        <v>176</v>
      </c>
      <c r="E1012" t="s">
        <v>348</v>
      </c>
      <c r="F1012" t="s">
        <v>21</v>
      </c>
      <c r="G1012" t="s">
        <v>59</v>
      </c>
      <c r="H1012" s="4">
        <v>12</v>
      </c>
      <c r="I1012" t="str">
        <f t="shared" si="15"/>
        <v>Stellifer micropsRockhead</v>
      </c>
    </row>
    <row r="1013" spans="1:9" x14ac:dyDescent="0.35">
      <c r="A1013">
        <v>22</v>
      </c>
      <c r="B1013">
        <v>2017</v>
      </c>
      <c r="C1013">
        <v>1</v>
      </c>
      <c r="D1013" t="s">
        <v>176</v>
      </c>
      <c r="E1013" t="s">
        <v>348</v>
      </c>
      <c r="F1013" t="s">
        <v>21</v>
      </c>
      <c r="G1013" t="s">
        <v>59</v>
      </c>
      <c r="H1013" s="4">
        <v>17</v>
      </c>
      <c r="I1013" t="str">
        <f t="shared" si="15"/>
        <v>Stellifer micropsRockhead</v>
      </c>
    </row>
    <row r="1014" spans="1:9" x14ac:dyDescent="0.35">
      <c r="A1014">
        <v>22</v>
      </c>
      <c r="B1014">
        <v>2017</v>
      </c>
      <c r="C1014">
        <v>1</v>
      </c>
      <c r="D1014" t="s">
        <v>176</v>
      </c>
      <c r="E1014" t="s">
        <v>348</v>
      </c>
      <c r="F1014" t="s">
        <v>21</v>
      </c>
      <c r="G1014" t="s">
        <v>59</v>
      </c>
      <c r="H1014" s="4">
        <v>9</v>
      </c>
      <c r="I1014" t="str">
        <f t="shared" si="15"/>
        <v>Stellifer micropsRockhead</v>
      </c>
    </row>
    <row r="1015" spans="1:9" x14ac:dyDescent="0.35">
      <c r="A1015">
        <v>22</v>
      </c>
      <c r="B1015">
        <v>2017</v>
      </c>
      <c r="C1015">
        <v>1</v>
      </c>
      <c r="D1015" t="s">
        <v>176</v>
      </c>
      <c r="E1015" t="s">
        <v>348</v>
      </c>
      <c r="F1015" t="s">
        <v>21</v>
      </c>
      <c r="G1015" t="s">
        <v>59</v>
      </c>
      <c r="H1015" s="4">
        <v>9</v>
      </c>
      <c r="I1015" t="str">
        <f t="shared" si="15"/>
        <v>Stellifer micropsRockhead</v>
      </c>
    </row>
    <row r="1016" spans="1:9" x14ac:dyDescent="0.35">
      <c r="A1016">
        <v>22</v>
      </c>
      <c r="B1016">
        <v>2017</v>
      </c>
      <c r="C1016">
        <v>1</v>
      </c>
      <c r="D1016" t="s">
        <v>176</v>
      </c>
      <c r="E1016" t="s">
        <v>348</v>
      </c>
      <c r="F1016" t="s">
        <v>121</v>
      </c>
      <c r="G1016" t="s">
        <v>44</v>
      </c>
      <c r="H1016" s="4">
        <v>13</v>
      </c>
      <c r="I1016" t="str">
        <f t="shared" si="15"/>
        <v>Anchoa mitchilliNegli</v>
      </c>
    </row>
    <row r="1017" spans="1:9" x14ac:dyDescent="0.35">
      <c r="A1017">
        <v>22</v>
      </c>
      <c r="B1017">
        <v>2017</v>
      </c>
      <c r="C1017">
        <v>1</v>
      </c>
      <c r="D1017" t="s">
        <v>176</v>
      </c>
      <c r="E1017" t="s">
        <v>348</v>
      </c>
      <c r="F1017" t="s">
        <v>121</v>
      </c>
      <c r="G1017" t="s">
        <v>44</v>
      </c>
      <c r="H1017" s="4">
        <v>13</v>
      </c>
      <c r="I1017" t="str">
        <f t="shared" si="15"/>
        <v>Anchoa mitchilliNegli</v>
      </c>
    </row>
    <row r="1018" spans="1:9" x14ac:dyDescent="0.35">
      <c r="A1018">
        <v>22</v>
      </c>
      <c r="B1018">
        <v>2017</v>
      </c>
      <c r="C1018">
        <v>1</v>
      </c>
      <c r="D1018" t="s">
        <v>176</v>
      </c>
      <c r="E1018" t="s">
        <v>348</v>
      </c>
      <c r="F1018" t="s">
        <v>121</v>
      </c>
      <c r="G1018" t="s">
        <v>44</v>
      </c>
      <c r="H1018" s="4">
        <v>13</v>
      </c>
      <c r="I1018" t="str">
        <f t="shared" si="15"/>
        <v>Anchoa mitchilliNegli</v>
      </c>
    </row>
    <row r="1019" spans="1:9" x14ac:dyDescent="0.35">
      <c r="A1019">
        <v>22</v>
      </c>
      <c r="B1019">
        <v>2017</v>
      </c>
      <c r="C1019">
        <v>1</v>
      </c>
      <c r="D1019" t="s">
        <v>176</v>
      </c>
      <c r="E1019" t="s">
        <v>348</v>
      </c>
      <c r="F1019" t="s">
        <v>121</v>
      </c>
      <c r="G1019" t="s">
        <v>44</v>
      </c>
      <c r="H1019" s="4">
        <v>13</v>
      </c>
      <c r="I1019" t="str">
        <f t="shared" si="15"/>
        <v>Anchoa mitchilliNegli</v>
      </c>
    </row>
    <row r="1020" spans="1:9" x14ac:dyDescent="0.35">
      <c r="A1020">
        <v>22</v>
      </c>
      <c r="B1020">
        <v>2017</v>
      </c>
      <c r="C1020">
        <v>1</v>
      </c>
      <c r="D1020" t="s">
        <v>176</v>
      </c>
      <c r="E1020" t="s">
        <v>348</v>
      </c>
      <c r="F1020" t="s">
        <v>121</v>
      </c>
      <c r="G1020" t="s">
        <v>44</v>
      </c>
      <c r="H1020" s="4">
        <v>13</v>
      </c>
      <c r="I1020" t="str">
        <f t="shared" si="15"/>
        <v>Anchoa mitchilliNegli</v>
      </c>
    </row>
    <row r="1021" spans="1:9" x14ac:dyDescent="0.35">
      <c r="A1021">
        <v>22</v>
      </c>
      <c r="B1021">
        <v>2017</v>
      </c>
      <c r="C1021">
        <v>1</v>
      </c>
      <c r="D1021" t="s">
        <v>176</v>
      </c>
      <c r="E1021" t="s">
        <v>348</v>
      </c>
      <c r="F1021" t="s">
        <v>121</v>
      </c>
      <c r="G1021" t="s">
        <v>44</v>
      </c>
      <c r="H1021" s="4">
        <v>13</v>
      </c>
      <c r="I1021" t="str">
        <f t="shared" si="15"/>
        <v>Anchoa mitchilliNegli</v>
      </c>
    </row>
    <row r="1022" spans="1:9" x14ac:dyDescent="0.35">
      <c r="A1022">
        <v>22</v>
      </c>
      <c r="B1022">
        <v>2017</v>
      </c>
      <c r="C1022">
        <v>1</v>
      </c>
      <c r="D1022" t="s">
        <v>176</v>
      </c>
      <c r="E1022" t="s">
        <v>348</v>
      </c>
      <c r="F1022" t="s">
        <v>121</v>
      </c>
      <c r="G1022" t="s">
        <v>44</v>
      </c>
      <c r="H1022" s="4">
        <v>13</v>
      </c>
      <c r="I1022" t="str">
        <f t="shared" si="15"/>
        <v>Anchoa mitchilliNegli</v>
      </c>
    </row>
    <row r="1023" spans="1:9" x14ac:dyDescent="0.35">
      <c r="A1023">
        <v>22</v>
      </c>
      <c r="B1023">
        <v>2017</v>
      </c>
      <c r="C1023">
        <v>1</v>
      </c>
      <c r="D1023" t="s">
        <v>176</v>
      </c>
      <c r="E1023" t="s">
        <v>348</v>
      </c>
      <c r="F1023" t="s">
        <v>121</v>
      </c>
      <c r="G1023" t="s">
        <v>44</v>
      </c>
      <c r="H1023" s="4">
        <v>13</v>
      </c>
      <c r="I1023" t="str">
        <f t="shared" si="15"/>
        <v>Anchoa mitchilliNegli</v>
      </c>
    </row>
    <row r="1024" spans="1:9" x14ac:dyDescent="0.35">
      <c r="A1024">
        <v>22</v>
      </c>
      <c r="B1024">
        <v>2017</v>
      </c>
      <c r="C1024">
        <v>1</v>
      </c>
      <c r="D1024" t="s">
        <v>176</v>
      </c>
      <c r="E1024" t="s">
        <v>348</v>
      </c>
      <c r="F1024" t="s">
        <v>121</v>
      </c>
      <c r="G1024" t="s">
        <v>44</v>
      </c>
      <c r="H1024" s="4">
        <v>13</v>
      </c>
      <c r="I1024" t="str">
        <f t="shared" si="15"/>
        <v>Anchoa mitchilliNegli</v>
      </c>
    </row>
    <row r="1025" spans="1:9" x14ac:dyDescent="0.35">
      <c r="A1025">
        <v>22</v>
      </c>
      <c r="B1025">
        <v>2017</v>
      </c>
      <c r="C1025">
        <v>1</v>
      </c>
      <c r="D1025" t="s">
        <v>176</v>
      </c>
      <c r="E1025" t="s">
        <v>348</v>
      </c>
      <c r="F1025" t="s">
        <v>121</v>
      </c>
      <c r="G1025" t="s">
        <v>44</v>
      </c>
      <c r="H1025" s="4">
        <v>13</v>
      </c>
      <c r="I1025" t="str">
        <f t="shared" si="15"/>
        <v>Anchoa mitchilliNegli</v>
      </c>
    </row>
    <row r="1026" spans="1:9" x14ac:dyDescent="0.35">
      <c r="A1026">
        <v>22</v>
      </c>
      <c r="B1026">
        <v>2017</v>
      </c>
      <c r="C1026">
        <v>1</v>
      </c>
      <c r="D1026" t="s">
        <v>176</v>
      </c>
      <c r="E1026" t="s">
        <v>348</v>
      </c>
      <c r="F1026" t="s">
        <v>121</v>
      </c>
      <c r="G1026" t="s">
        <v>44</v>
      </c>
      <c r="H1026" s="4">
        <v>13</v>
      </c>
      <c r="I1026" t="str">
        <f t="shared" ref="I1026:I1089" si="16">CONCATENATE(F1026,G1026)</f>
        <v>Anchoa mitchilliNegli</v>
      </c>
    </row>
    <row r="1027" spans="1:9" x14ac:dyDescent="0.35">
      <c r="A1027">
        <v>22</v>
      </c>
      <c r="B1027">
        <v>2017</v>
      </c>
      <c r="C1027">
        <v>1</v>
      </c>
      <c r="D1027" t="s">
        <v>176</v>
      </c>
      <c r="E1027" t="s">
        <v>348</v>
      </c>
      <c r="F1027" t="s">
        <v>121</v>
      </c>
      <c r="G1027" t="s">
        <v>44</v>
      </c>
      <c r="H1027" s="4">
        <v>13</v>
      </c>
      <c r="I1027" t="str">
        <f t="shared" si="16"/>
        <v>Anchoa mitchilliNegli</v>
      </c>
    </row>
    <row r="1028" spans="1:9" x14ac:dyDescent="0.35">
      <c r="A1028">
        <v>22</v>
      </c>
      <c r="B1028">
        <v>2017</v>
      </c>
      <c r="C1028">
        <v>1</v>
      </c>
      <c r="D1028" t="s">
        <v>176</v>
      </c>
      <c r="E1028" t="s">
        <v>348</v>
      </c>
      <c r="F1028" t="s">
        <v>121</v>
      </c>
      <c r="G1028" t="s">
        <v>44</v>
      </c>
      <c r="H1028" s="4">
        <v>13</v>
      </c>
      <c r="I1028" t="str">
        <f t="shared" si="16"/>
        <v>Anchoa mitchilliNegli</v>
      </c>
    </row>
    <row r="1029" spans="1:9" x14ac:dyDescent="0.35">
      <c r="A1029">
        <v>22</v>
      </c>
      <c r="B1029">
        <v>2017</v>
      </c>
      <c r="C1029">
        <v>1</v>
      </c>
      <c r="D1029" t="s">
        <v>176</v>
      </c>
      <c r="E1029" t="s">
        <v>348</v>
      </c>
      <c r="F1029" t="s">
        <v>121</v>
      </c>
      <c r="G1029" t="s">
        <v>44</v>
      </c>
      <c r="H1029" s="4">
        <v>13</v>
      </c>
      <c r="I1029" t="str">
        <f t="shared" si="16"/>
        <v>Anchoa mitchilliNegli</v>
      </c>
    </row>
    <row r="1030" spans="1:9" x14ac:dyDescent="0.35">
      <c r="A1030">
        <v>22</v>
      </c>
      <c r="B1030">
        <v>2017</v>
      </c>
      <c r="C1030">
        <v>1</v>
      </c>
      <c r="D1030" t="s">
        <v>176</v>
      </c>
      <c r="E1030" t="s">
        <v>348</v>
      </c>
      <c r="F1030" t="s">
        <v>121</v>
      </c>
      <c r="G1030" t="s">
        <v>44</v>
      </c>
      <c r="H1030" s="4">
        <v>14</v>
      </c>
      <c r="I1030" t="str">
        <f t="shared" si="16"/>
        <v>Anchoa mitchilliNegli</v>
      </c>
    </row>
    <row r="1031" spans="1:9" x14ac:dyDescent="0.35">
      <c r="A1031">
        <v>22</v>
      </c>
      <c r="B1031">
        <v>2017</v>
      </c>
      <c r="C1031">
        <v>1</v>
      </c>
      <c r="D1031" t="s">
        <v>176</v>
      </c>
      <c r="E1031" t="s">
        <v>348</v>
      </c>
      <c r="F1031" t="s">
        <v>121</v>
      </c>
      <c r="G1031" t="s">
        <v>44</v>
      </c>
      <c r="H1031" s="4">
        <v>15</v>
      </c>
      <c r="I1031" t="str">
        <f t="shared" si="16"/>
        <v>Anchoa mitchilliNegli</v>
      </c>
    </row>
    <row r="1032" spans="1:9" x14ac:dyDescent="0.35">
      <c r="A1032">
        <v>22</v>
      </c>
      <c r="B1032">
        <v>2017</v>
      </c>
      <c r="C1032">
        <v>1</v>
      </c>
      <c r="D1032" t="s">
        <v>176</v>
      </c>
      <c r="E1032" t="s">
        <v>348</v>
      </c>
      <c r="F1032" t="s">
        <v>121</v>
      </c>
      <c r="G1032" t="s">
        <v>44</v>
      </c>
      <c r="H1032" s="4">
        <v>15</v>
      </c>
      <c r="I1032" t="str">
        <f t="shared" si="16"/>
        <v>Anchoa mitchilliNegli</v>
      </c>
    </row>
    <row r="1033" spans="1:9" x14ac:dyDescent="0.35">
      <c r="A1033">
        <v>22</v>
      </c>
      <c r="B1033">
        <v>2017</v>
      </c>
      <c r="C1033">
        <v>1</v>
      </c>
      <c r="D1033" t="s">
        <v>176</v>
      </c>
      <c r="E1033" t="s">
        <v>348</v>
      </c>
      <c r="F1033" t="s">
        <v>121</v>
      </c>
      <c r="G1033" t="s">
        <v>44</v>
      </c>
      <c r="H1033" s="4">
        <v>15</v>
      </c>
      <c r="I1033" t="str">
        <f t="shared" si="16"/>
        <v>Anchoa mitchilliNegli</v>
      </c>
    </row>
    <row r="1034" spans="1:9" x14ac:dyDescent="0.35">
      <c r="A1034">
        <v>22</v>
      </c>
      <c r="B1034">
        <v>2017</v>
      </c>
      <c r="C1034">
        <v>1</v>
      </c>
      <c r="D1034" t="s">
        <v>176</v>
      </c>
      <c r="E1034" t="s">
        <v>348</v>
      </c>
      <c r="F1034" t="s">
        <v>121</v>
      </c>
      <c r="G1034" t="s">
        <v>44</v>
      </c>
      <c r="H1034" s="4">
        <v>16</v>
      </c>
      <c r="I1034" t="str">
        <f t="shared" si="16"/>
        <v>Anchoa mitchilliNegli</v>
      </c>
    </row>
    <row r="1035" spans="1:9" x14ac:dyDescent="0.35">
      <c r="A1035">
        <v>22</v>
      </c>
      <c r="B1035">
        <v>2017</v>
      </c>
      <c r="C1035">
        <v>1</v>
      </c>
      <c r="D1035" t="s">
        <v>176</v>
      </c>
      <c r="E1035" t="s">
        <v>348</v>
      </c>
      <c r="F1035" t="s">
        <v>121</v>
      </c>
      <c r="G1035" t="s">
        <v>44</v>
      </c>
      <c r="H1035" s="4">
        <v>12</v>
      </c>
      <c r="I1035" t="str">
        <f t="shared" si="16"/>
        <v>Anchoa mitchilliNegli</v>
      </c>
    </row>
    <row r="1036" spans="1:9" x14ac:dyDescent="0.35">
      <c r="A1036">
        <v>22</v>
      </c>
      <c r="B1036">
        <v>2017</v>
      </c>
      <c r="C1036">
        <v>1</v>
      </c>
      <c r="D1036" t="s">
        <v>176</v>
      </c>
      <c r="E1036" t="s">
        <v>348</v>
      </c>
      <c r="F1036" t="s">
        <v>121</v>
      </c>
      <c r="G1036" t="s">
        <v>44</v>
      </c>
      <c r="H1036" s="4">
        <v>12</v>
      </c>
      <c r="I1036" t="str">
        <f t="shared" si="16"/>
        <v>Anchoa mitchilliNegli</v>
      </c>
    </row>
    <row r="1037" spans="1:9" x14ac:dyDescent="0.35">
      <c r="A1037">
        <v>22</v>
      </c>
      <c r="B1037">
        <v>2017</v>
      </c>
      <c r="C1037">
        <v>1</v>
      </c>
      <c r="D1037" t="s">
        <v>176</v>
      </c>
      <c r="E1037" t="s">
        <v>348</v>
      </c>
      <c r="F1037" t="s">
        <v>121</v>
      </c>
      <c r="G1037" t="s">
        <v>44</v>
      </c>
      <c r="H1037" s="4">
        <v>12</v>
      </c>
      <c r="I1037" t="str">
        <f t="shared" si="16"/>
        <v>Anchoa mitchilliNegli</v>
      </c>
    </row>
    <row r="1038" spans="1:9" x14ac:dyDescent="0.35">
      <c r="A1038">
        <v>22</v>
      </c>
      <c r="B1038">
        <v>2017</v>
      </c>
      <c r="C1038">
        <v>1</v>
      </c>
      <c r="D1038" t="s">
        <v>176</v>
      </c>
      <c r="E1038" t="s">
        <v>348</v>
      </c>
      <c r="F1038" t="s">
        <v>121</v>
      </c>
      <c r="G1038" t="s">
        <v>44</v>
      </c>
      <c r="H1038" s="4">
        <v>12</v>
      </c>
      <c r="I1038" t="str">
        <f t="shared" si="16"/>
        <v>Anchoa mitchilliNegli</v>
      </c>
    </row>
    <row r="1039" spans="1:9" x14ac:dyDescent="0.35">
      <c r="A1039">
        <v>22</v>
      </c>
      <c r="B1039">
        <v>2017</v>
      </c>
      <c r="C1039">
        <v>1</v>
      </c>
      <c r="D1039" t="s">
        <v>176</v>
      </c>
      <c r="E1039" t="s">
        <v>348</v>
      </c>
      <c r="F1039" t="s">
        <v>121</v>
      </c>
      <c r="G1039" t="s">
        <v>44</v>
      </c>
      <c r="H1039" s="4">
        <v>12</v>
      </c>
      <c r="I1039" t="str">
        <f t="shared" si="16"/>
        <v>Anchoa mitchilliNegli</v>
      </c>
    </row>
    <row r="1040" spans="1:9" x14ac:dyDescent="0.35">
      <c r="A1040">
        <v>22</v>
      </c>
      <c r="B1040">
        <v>2017</v>
      </c>
      <c r="C1040">
        <v>1</v>
      </c>
      <c r="D1040" t="s">
        <v>176</v>
      </c>
      <c r="E1040" t="s">
        <v>348</v>
      </c>
      <c r="F1040" t="s">
        <v>121</v>
      </c>
      <c r="G1040" t="s">
        <v>44</v>
      </c>
      <c r="H1040" s="4">
        <v>12</v>
      </c>
      <c r="I1040" t="str">
        <f t="shared" si="16"/>
        <v>Anchoa mitchilliNegli</v>
      </c>
    </row>
    <row r="1041" spans="1:9" x14ac:dyDescent="0.35">
      <c r="A1041">
        <v>22</v>
      </c>
      <c r="B1041">
        <v>2017</v>
      </c>
      <c r="C1041">
        <v>1</v>
      </c>
      <c r="D1041" t="s">
        <v>176</v>
      </c>
      <c r="E1041" t="s">
        <v>348</v>
      </c>
      <c r="F1041" t="s">
        <v>121</v>
      </c>
      <c r="G1041" t="s">
        <v>44</v>
      </c>
      <c r="H1041" s="4">
        <v>12</v>
      </c>
      <c r="I1041" t="str">
        <f t="shared" si="16"/>
        <v>Anchoa mitchilliNegli</v>
      </c>
    </row>
    <row r="1042" spans="1:9" x14ac:dyDescent="0.35">
      <c r="A1042">
        <v>22</v>
      </c>
      <c r="B1042">
        <v>2017</v>
      </c>
      <c r="C1042">
        <v>1</v>
      </c>
      <c r="D1042" t="s">
        <v>176</v>
      </c>
      <c r="E1042" t="s">
        <v>348</v>
      </c>
      <c r="F1042" t="s">
        <v>121</v>
      </c>
      <c r="G1042" t="s">
        <v>44</v>
      </c>
      <c r="H1042" s="4">
        <v>12</v>
      </c>
      <c r="I1042" t="str">
        <f t="shared" si="16"/>
        <v>Anchoa mitchilliNegli</v>
      </c>
    </row>
    <row r="1043" spans="1:9" x14ac:dyDescent="0.35">
      <c r="A1043">
        <v>22</v>
      </c>
      <c r="B1043">
        <v>2017</v>
      </c>
      <c r="C1043">
        <v>1</v>
      </c>
      <c r="D1043" t="s">
        <v>176</v>
      </c>
      <c r="E1043" t="s">
        <v>348</v>
      </c>
      <c r="F1043" t="s">
        <v>121</v>
      </c>
      <c r="G1043" t="s">
        <v>44</v>
      </c>
      <c r="H1043" s="4">
        <v>12</v>
      </c>
      <c r="I1043" t="str">
        <f t="shared" si="16"/>
        <v>Anchoa mitchilliNegli</v>
      </c>
    </row>
    <row r="1044" spans="1:9" x14ac:dyDescent="0.35">
      <c r="A1044">
        <v>22</v>
      </c>
      <c r="B1044">
        <v>2017</v>
      </c>
      <c r="C1044">
        <v>1</v>
      </c>
      <c r="D1044" t="s">
        <v>176</v>
      </c>
      <c r="E1044" t="s">
        <v>348</v>
      </c>
      <c r="F1044" t="s">
        <v>121</v>
      </c>
      <c r="G1044" t="s">
        <v>44</v>
      </c>
      <c r="H1044" s="4">
        <v>11</v>
      </c>
      <c r="I1044" t="str">
        <f t="shared" si="16"/>
        <v>Anchoa mitchilliNegli</v>
      </c>
    </row>
    <row r="1045" spans="1:9" x14ac:dyDescent="0.35">
      <c r="A1045">
        <v>22</v>
      </c>
      <c r="B1045">
        <v>2017</v>
      </c>
      <c r="C1045">
        <v>1</v>
      </c>
      <c r="D1045" t="s">
        <v>176</v>
      </c>
      <c r="E1045" t="s">
        <v>348</v>
      </c>
      <c r="F1045" t="s">
        <v>121</v>
      </c>
      <c r="G1045" t="s">
        <v>44</v>
      </c>
      <c r="H1045" s="4">
        <v>11</v>
      </c>
      <c r="I1045" t="str">
        <f t="shared" si="16"/>
        <v>Anchoa mitchilliNegli</v>
      </c>
    </row>
    <row r="1046" spans="1:9" x14ac:dyDescent="0.35">
      <c r="A1046">
        <v>22</v>
      </c>
      <c r="B1046">
        <v>2017</v>
      </c>
      <c r="C1046">
        <v>1</v>
      </c>
      <c r="D1046" t="s">
        <v>176</v>
      </c>
      <c r="E1046" t="s">
        <v>348</v>
      </c>
      <c r="F1046" t="s">
        <v>43</v>
      </c>
      <c r="G1046" t="s">
        <v>57</v>
      </c>
      <c r="H1046" s="4">
        <v>21</v>
      </c>
      <c r="I1046" t="str">
        <f t="shared" si="16"/>
        <v>Cynoscion virescensSeatrout</v>
      </c>
    </row>
    <row r="1047" spans="1:9" x14ac:dyDescent="0.35">
      <c r="A1047">
        <v>22</v>
      </c>
      <c r="B1047">
        <v>2017</v>
      </c>
      <c r="C1047">
        <v>1</v>
      </c>
      <c r="D1047" t="s">
        <v>176</v>
      </c>
      <c r="E1047" t="s">
        <v>348</v>
      </c>
      <c r="F1047" t="s">
        <v>43</v>
      </c>
      <c r="G1047" t="s">
        <v>57</v>
      </c>
      <c r="H1047" s="4">
        <v>21</v>
      </c>
      <c r="I1047" t="str">
        <f t="shared" si="16"/>
        <v>Cynoscion virescensSeatrout</v>
      </c>
    </row>
    <row r="1048" spans="1:9" x14ac:dyDescent="0.35">
      <c r="A1048">
        <v>22</v>
      </c>
      <c r="B1048">
        <v>2017</v>
      </c>
      <c r="C1048">
        <v>1</v>
      </c>
      <c r="D1048" t="s">
        <v>176</v>
      </c>
      <c r="E1048" t="s">
        <v>348</v>
      </c>
      <c r="F1048" t="s">
        <v>43</v>
      </c>
      <c r="G1048" t="s">
        <v>57</v>
      </c>
      <c r="H1048" s="4">
        <v>21</v>
      </c>
      <c r="I1048" t="str">
        <f t="shared" si="16"/>
        <v>Cynoscion virescensSeatrout</v>
      </c>
    </row>
    <row r="1049" spans="1:9" x14ac:dyDescent="0.35">
      <c r="A1049">
        <v>22</v>
      </c>
      <c r="B1049">
        <v>2017</v>
      </c>
      <c r="C1049">
        <v>1</v>
      </c>
      <c r="D1049" t="s">
        <v>176</v>
      </c>
      <c r="E1049" t="s">
        <v>348</v>
      </c>
      <c r="F1049" t="s">
        <v>43</v>
      </c>
      <c r="G1049" t="s">
        <v>57</v>
      </c>
      <c r="H1049" s="4">
        <v>18</v>
      </c>
      <c r="I1049" t="str">
        <f t="shared" si="16"/>
        <v>Cynoscion virescensSeatrout</v>
      </c>
    </row>
    <row r="1050" spans="1:9" x14ac:dyDescent="0.35">
      <c r="A1050">
        <v>22</v>
      </c>
      <c r="B1050">
        <v>2017</v>
      </c>
      <c r="C1050">
        <v>1</v>
      </c>
      <c r="D1050" t="s">
        <v>176</v>
      </c>
      <c r="E1050" t="s">
        <v>348</v>
      </c>
      <c r="F1050" t="s">
        <v>43</v>
      </c>
      <c r="G1050" t="s">
        <v>57</v>
      </c>
      <c r="H1050" s="4">
        <v>18</v>
      </c>
      <c r="I1050" t="str">
        <f t="shared" si="16"/>
        <v>Cynoscion virescensSeatrout</v>
      </c>
    </row>
    <row r="1051" spans="1:9" x14ac:dyDescent="0.35">
      <c r="A1051">
        <v>22</v>
      </c>
      <c r="B1051">
        <v>2017</v>
      </c>
      <c r="C1051">
        <v>1</v>
      </c>
      <c r="D1051" t="s">
        <v>176</v>
      </c>
      <c r="E1051" t="s">
        <v>348</v>
      </c>
      <c r="F1051" t="s">
        <v>43</v>
      </c>
      <c r="G1051" t="s">
        <v>57</v>
      </c>
      <c r="H1051" s="4">
        <v>18</v>
      </c>
      <c r="I1051" t="str">
        <f t="shared" si="16"/>
        <v>Cynoscion virescensSeatrout</v>
      </c>
    </row>
    <row r="1052" spans="1:9" x14ac:dyDescent="0.35">
      <c r="A1052">
        <v>22</v>
      </c>
      <c r="B1052">
        <v>2017</v>
      </c>
      <c r="C1052">
        <v>1</v>
      </c>
      <c r="D1052" t="s">
        <v>176</v>
      </c>
      <c r="E1052" t="s">
        <v>348</v>
      </c>
      <c r="F1052" t="s">
        <v>43</v>
      </c>
      <c r="G1052" t="s">
        <v>57</v>
      </c>
      <c r="H1052" s="4">
        <v>18</v>
      </c>
      <c r="I1052" t="str">
        <f t="shared" si="16"/>
        <v>Cynoscion virescensSeatrout</v>
      </c>
    </row>
    <row r="1053" spans="1:9" x14ac:dyDescent="0.35">
      <c r="A1053">
        <v>22</v>
      </c>
      <c r="B1053">
        <v>2017</v>
      </c>
      <c r="C1053">
        <v>1</v>
      </c>
      <c r="D1053" t="s">
        <v>176</v>
      </c>
      <c r="E1053" t="s">
        <v>348</v>
      </c>
      <c r="F1053" t="s">
        <v>43</v>
      </c>
      <c r="G1053" t="s">
        <v>57</v>
      </c>
      <c r="H1053" s="4">
        <v>18</v>
      </c>
      <c r="I1053" t="str">
        <f t="shared" si="16"/>
        <v>Cynoscion virescensSeatrout</v>
      </c>
    </row>
    <row r="1054" spans="1:9" x14ac:dyDescent="0.35">
      <c r="A1054">
        <v>22</v>
      </c>
      <c r="B1054">
        <v>2017</v>
      </c>
      <c r="C1054">
        <v>1</v>
      </c>
      <c r="D1054" t="s">
        <v>176</v>
      </c>
      <c r="E1054" t="s">
        <v>348</v>
      </c>
      <c r="F1054" t="s">
        <v>43</v>
      </c>
      <c r="G1054" t="s">
        <v>57</v>
      </c>
      <c r="H1054" s="4">
        <v>17</v>
      </c>
      <c r="I1054" t="str">
        <f t="shared" si="16"/>
        <v>Cynoscion virescensSeatrout</v>
      </c>
    </row>
    <row r="1055" spans="1:9" x14ac:dyDescent="0.35">
      <c r="A1055">
        <v>22</v>
      </c>
      <c r="B1055">
        <v>2017</v>
      </c>
      <c r="C1055">
        <v>1</v>
      </c>
      <c r="D1055" t="s">
        <v>176</v>
      </c>
      <c r="E1055" t="s">
        <v>348</v>
      </c>
      <c r="F1055" t="s">
        <v>43</v>
      </c>
      <c r="G1055" t="s">
        <v>57</v>
      </c>
      <c r="H1055" s="4">
        <v>17</v>
      </c>
      <c r="I1055" t="str">
        <f t="shared" si="16"/>
        <v>Cynoscion virescensSeatrout</v>
      </c>
    </row>
    <row r="1056" spans="1:9" x14ac:dyDescent="0.35">
      <c r="A1056">
        <v>22</v>
      </c>
      <c r="B1056">
        <v>2017</v>
      </c>
      <c r="C1056">
        <v>1</v>
      </c>
      <c r="D1056" t="s">
        <v>176</v>
      </c>
      <c r="E1056" t="s">
        <v>348</v>
      </c>
      <c r="F1056" t="s">
        <v>43</v>
      </c>
      <c r="G1056" t="s">
        <v>57</v>
      </c>
      <c r="H1056" s="4">
        <v>17</v>
      </c>
      <c r="I1056" t="str">
        <f t="shared" si="16"/>
        <v>Cynoscion virescensSeatrout</v>
      </c>
    </row>
    <row r="1057" spans="1:9" x14ac:dyDescent="0.35">
      <c r="A1057">
        <v>22</v>
      </c>
      <c r="B1057">
        <v>2017</v>
      </c>
      <c r="C1057">
        <v>1</v>
      </c>
      <c r="D1057" t="s">
        <v>176</v>
      </c>
      <c r="E1057" t="s">
        <v>348</v>
      </c>
      <c r="F1057" t="s">
        <v>43</v>
      </c>
      <c r="G1057" t="s">
        <v>57</v>
      </c>
      <c r="H1057" s="4">
        <v>17</v>
      </c>
      <c r="I1057" t="str">
        <f t="shared" si="16"/>
        <v>Cynoscion virescensSeatrout</v>
      </c>
    </row>
    <row r="1058" spans="1:9" x14ac:dyDescent="0.35">
      <c r="A1058">
        <v>22</v>
      </c>
      <c r="B1058">
        <v>2017</v>
      </c>
      <c r="C1058">
        <v>1</v>
      </c>
      <c r="D1058" t="s">
        <v>176</v>
      </c>
      <c r="E1058" t="s">
        <v>348</v>
      </c>
      <c r="F1058" t="s">
        <v>43</v>
      </c>
      <c r="G1058" t="s">
        <v>57</v>
      </c>
      <c r="H1058" s="4">
        <v>20</v>
      </c>
      <c r="I1058" t="str">
        <f t="shared" si="16"/>
        <v>Cynoscion virescensSeatrout</v>
      </c>
    </row>
    <row r="1059" spans="1:9" x14ac:dyDescent="0.35">
      <c r="A1059">
        <v>22</v>
      </c>
      <c r="B1059">
        <v>2017</v>
      </c>
      <c r="C1059">
        <v>1</v>
      </c>
      <c r="D1059" t="s">
        <v>176</v>
      </c>
      <c r="E1059" t="s">
        <v>348</v>
      </c>
      <c r="F1059" t="s">
        <v>43</v>
      </c>
      <c r="G1059" t="s">
        <v>57</v>
      </c>
      <c r="H1059" s="4">
        <v>20</v>
      </c>
      <c r="I1059" t="str">
        <f t="shared" si="16"/>
        <v>Cynoscion virescensSeatrout</v>
      </c>
    </row>
    <row r="1060" spans="1:9" x14ac:dyDescent="0.35">
      <c r="A1060">
        <v>22</v>
      </c>
      <c r="B1060">
        <v>2017</v>
      </c>
      <c r="C1060">
        <v>1</v>
      </c>
      <c r="D1060" t="s">
        <v>176</v>
      </c>
      <c r="E1060" t="s">
        <v>348</v>
      </c>
      <c r="F1060" t="s">
        <v>43</v>
      </c>
      <c r="G1060" t="s">
        <v>57</v>
      </c>
      <c r="H1060" s="4">
        <v>20</v>
      </c>
      <c r="I1060" t="str">
        <f t="shared" si="16"/>
        <v>Cynoscion virescensSeatrout</v>
      </c>
    </row>
    <row r="1061" spans="1:9" x14ac:dyDescent="0.35">
      <c r="A1061">
        <v>22</v>
      </c>
      <c r="B1061">
        <v>2017</v>
      </c>
      <c r="C1061">
        <v>1</v>
      </c>
      <c r="D1061" t="s">
        <v>176</v>
      </c>
      <c r="E1061" t="s">
        <v>348</v>
      </c>
      <c r="F1061" t="s">
        <v>43</v>
      </c>
      <c r="G1061" t="s">
        <v>57</v>
      </c>
      <c r="H1061" s="4">
        <v>18</v>
      </c>
      <c r="I1061" t="str">
        <f t="shared" si="16"/>
        <v>Cynoscion virescensSeatrout</v>
      </c>
    </row>
    <row r="1062" spans="1:9" x14ac:dyDescent="0.35">
      <c r="A1062">
        <v>22</v>
      </c>
      <c r="B1062">
        <v>2017</v>
      </c>
      <c r="C1062">
        <v>1</v>
      </c>
      <c r="D1062" t="s">
        <v>176</v>
      </c>
      <c r="E1062" t="s">
        <v>348</v>
      </c>
      <c r="F1062" t="s">
        <v>43</v>
      </c>
      <c r="G1062" t="s">
        <v>57</v>
      </c>
      <c r="H1062" s="4">
        <v>18</v>
      </c>
      <c r="I1062" t="str">
        <f t="shared" si="16"/>
        <v>Cynoscion virescensSeatrout</v>
      </c>
    </row>
    <row r="1063" spans="1:9" x14ac:dyDescent="0.35">
      <c r="A1063">
        <v>22</v>
      </c>
      <c r="B1063">
        <v>2017</v>
      </c>
      <c r="C1063">
        <v>1</v>
      </c>
      <c r="D1063" t="s">
        <v>176</v>
      </c>
      <c r="E1063" t="s">
        <v>348</v>
      </c>
      <c r="F1063" t="s">
        <v>43</v>
      </c>
      <c r="G1063" t="s">
        <v>57</v>
      </c>
      <c r="H1063" s="4">
        <v>18</v>
      </c>
      <c r="I1063" t="str">
        <f t="shared" si="16"/>
        <v>Cynoscion virescensSeatrout</v>
      </c>
    </row>
    <row r="1064" spans="1:9" x14ac:dyDescent="0.35">
      <c r="A1064">
        <v>22</v>
      </c>
      <c r="B1064">
        <v>2017</v>
      </c>
      <c r="C1064">
        <v>1</v>
      </c>
      <c r="D1064" t="s">
        <v>176</v>
      </c>
      <c r="E1064" t="s">
        <v>348</v>
      </c>
      <c r="F1064" t="s">
        <v>43</v>
      </c>
      <c r="G1064" t="s">
        <v>57</v>
      </c>
      <c r="H1064" s="4">
        <v>18</v>
      </c>
      <c r="I1064" t="str">
        <f t="shared" si="16"/>
        <v>Cynoscion virescensSeatrout</v>
      </c>
    </row>
    <row r="1065" spans="1:9" x14ac:dyDescent="0.35">
      <c r="A1065">
        <v>22</v>
      </c>
      <c r="B1065">
        <v>2017</v>
      </c>
      <c r="C1065">
        <v>1</v>
      </c>
      <c r="D1065" t="s">
        <v>176</v>
      </c>
      <c r="E1065" t="s">
        <v>348</v>
      </c>
      <c r="F1065" t="s">
        <v>43</v>
      </c>
      <c r="G1065" t="s">
        <v>57</v>
      </c>
      <c r="H1065" s="4">
        <v>18</v>
      </c>
      <c r="I1065" t="str">
        <f t="shared" si="16"/>
        <v>Cynoscion virescensSeatrout</v>
      </c>
    </row>
    <row r="1066" spans="1:9" x14ac:dyDescent="0.35">
      <c r="A1066">
        <v>22</v>
      </c>
      <c r="B1066">
        <v>2017</v>
      </c>
      <c r="C1066">
        <v>1</v>
      </c>
      <c r="D1066" t="s">
        <v>176</v>
      </c>
      <c r="E1066" t="s">
        <v>348</v>
      </c>
      <c r="F1066" t="s">
        <v>43</v>
      </c>
      <c r="G1066" t="s">
        <v>57</v>
      </c>
      <c r="H1066" s="4">
        <v>18</v>
      </c>
      <c r="I1066" t="str">
        <f t="shared" si="16"/>
        <v>Cynoscion virescensSeatrout</v>
      </c>
    </row>
    <row r="1067" spans="1:9" x14ac:dyDescent="0.35">
      <c r="A1067">
        <v>22</v>
      </c>
      <c r="B1067">
        <v>2017</v>
      </c>
      <c r="C1067">
        <v>1</v>
      </c>
      <c r="D1067" t="s">
        <v>176</v>
      </c>
      <c r="E1067" t="s">
        <v>348</v>
      </c>
      <c r="F1067" t="s">
        <v>43</v>
      </c>
      <c r="G1067" t="s">
        <v>57</v>
      </c>
      <c r="H1067" s="4">
        <v>16</v>
      </c>
      <c r="I1067" t="str">
        <f t="shared" si="16"/>
        <v>Cynoscion virescensSeatrout</v>
      </c>
    </row>
    <row r="1068" spans="1:9" x14ac:dyDescent="0.35">
      <c r="A1068">
        <v>22</v>
      </c>
      <c r="B1068">
        <v>2017</v>
      </c>
      <c r="C1068">
        <v>1</v>
      </c>
      <c r="D1068" t="s">
        <v>176</v>
      </c>
      <c r="E1068" t="s">
        <v>348</v>
      </c>
      <c r="F1068" t="s">
        <v>43</v>
      </c>
      <c r="G1068" t="s">
        <v>57</v>
      </c>
      <c r="H1068" s="4">
        <v>16</v>
      </c>
      <c r="I1068" t="str">
        <f t="shared" si="16"/>
        <v>Cynoscion virescensSeatrout</v>
      </c>
    </row>
    <row r="1069" spans="1:9" x14ac:dyDescent="0.35">
      <c r="A1069">
        <v>22</v>
      </c>
      <c r="B1069">
        <v>2017</v>
      </c>
      <c r="C1069">
        <v>1</v>
      </c>
      <c r="D1069" t="s">
        <v>176</v>
      </c>
      <c r="E1069" t="s">
        <v>348</v>
      </c>
      <c r="F1069" t="s">
        <v>43</v>
      </c>
      <c r="G1069" t="s">
        <v>57</v>
      </c>
      <c r="H1069" s="4">
        <v>16</v>
      </c>
      <c r="I1069" t="str">
        <f t="shared" si="16"/>
        <v>Cynoscion virescensSeatrout</v>
      </c>
    </row>
    <row r="1070" spans="1:9" x14ac:dyDescent="0.35">
      <c r="A1070">
        <v>22</v>
      </c>
      <c r="B1070">
        <v>2017</v>
      </c>
      <c r="C1070">
        <v>1</v>
      </c>
      <c r="D1070" t="s">
        <v>176</v>
      </c>
      <c r="E1070" t="s">
        <v>348</v>
      </c>
      <c r="F1070" t="s">
        <v>43</v>
      </c>
      <c r="G1070" t="s">
        <v>57</v>
      </c>
      <c r="H1070" s="4">
        <v>16</v>
      </c>
      <c r="I1070" t="str">
        <f t="shared" si="16"/>
        <v>Cynoscion virescensSeatrout</v>
      </c>
    </row>
    <row r="1071" spans="1:9" x14ac:dyDescent="0.35">
      <c r="A1071">
        <v>22</v>
      </c>
      <c r="B1071">
        <v>2017</v>
      </c>
      <c r="C1071">
        <v>1</v>
      </c>
      <c r="D1071" t="s">
        <v>176</v>
      </c>
      <c r="E1071" t="s">
        <v>348</v>
      </c>
      <c r="F1071" t="s">
        <v>43</v>
      </c>
      <c r="G1071" t="s">
        <v>57</v>
      </c>
      <c r="H1071" s="4">
        <v>16</v>
      </c>
      <c r="I1071" t="str">
        <f t="shared" si="16"/>
        <v>Cynoscion virescensSeatrout</v>
      </c>
    </row>
    <row r="1072" spans="1:9" x14ac:dyDescent="0.35">
      <c r="A1072">
        <v>22</v>
      </c>
      <c r="B1072">
        <v>2017</v>
      </c>
      <c r="C1072">
        <v>1</v>
      </c>
      <c r="D1072" t="s">
        <v>176</v>
      </c>
      <c r="E1072" t="s">
        <v>348</v>
      </c>
      <c r="F1072" t="s">
        <v>43</v>
      </c>
      <c r="G1072" t="s">
        <v>57</v>
      </c>
      <c r="H1072" s="4">
        <v>24</v>
      </c>
      <c r="I1072" t="str">
        <f t="shared" si="16"/>
        <v>Cynoscion virescensSeatrout</v>
      </c>
    </row>
    <row r="1073" spans="1:9" x14ac:dyDescent="0.35">
      <c r="A1073">
        <v>22</v>
      </c>
      <c r="B1073">
        <v>2017</v>
      </c>
      <c r="C1073">
        <v>1</v>
      </c>
      <c r="D1073" t="s">
        <v>176</v>
      </c>
      <c r="E1073" t="s">
        <v>348</v>
      </c>
      <c r="F1073" t="s">
        <v>43</v>
      </c>
      <c r="G1073" t="s">
        <v>57</v>
      </c>
      <c r="H1073" s="4">
        <v>26</v>
      </c>
      <c r="I1073" t="str">
        <f t="shared" si="16"/>
        <v>Cynoscion virescensSeatrout</v>
      </c>
    </row>
    <row r="1074" spans="1:9" x14ac:dyDescent="0.35">
      <c r="A1074">
        <v>22</v>
      </c>
      <c r="B1074">
        <v>2017</v>
      </c>
      <c r="C1074">
        <v>1</v>
      </c>
      <c r="D1074" t="s">
        <v>176</v>
      </c>
      <c r="E1074" t="s">
        <v>348</v>
      </c>
      <c r="F1074" t="s">
        <v>43</v>
      </c>
      <c r="G1074" t="s">
        <v>57</v>
      </c>
      <c r="H1074" s="4">
        <v>22</v>
      </c>
      <c r="I1074" t="str">
        <f t="shared" si="16"/>
        <v>Cynoscion virescensSeatrout</v>
      </c>
    </row>
    <row r="1075" spans="1:9" x14ac:dyDescent="0.35">
      <c r="A1075">
        <v>22</v>
      </c>
      <c r="B1075">
        <v>2017</v>
      </c>
      <c r="C1075">
        <v>1</v>
      </c>
      <c r="D1075" t="s">
        <v>176</v>
      </c>
      <c r="E1075" t="s">
        <v>348</v>
      </c>
      <c r="F1075" t="s">
        <v>43</v>
      </c>
      <c r="G1075" t="s">
        <v>57</v>
      </c>
      <c r="H1075" s="4">
        <v>22</v>
      </c>
      <c r="I1075" t="str">
        <f t="shared" si="16"/>
        <v>Cynoscion virescensSeatrout</v>
      </c>
    </row>
    <row r="1076" spans="1:9" x14ac:dyDescent="0.35">
      <c r="A1076">
        <v>22</v>
      </c>
      <c r="B1076">
        <v>2017</v>
      </c>
      <c r="C1076">
        <v>1</v>
      </c>
      <c r="D1076" t="s">
        <v>176</v>
      </c>
      <c r="E1076" t="s">
        <v>348</v>
      </c>
      <c r="F1076" t="s">
        <v>43</v>
      </c>
      <c r="G1076" t="s">
        <v>57</v>
      </c>
      <c r="H1076" s="4">
        <v>15</v>
      </c>
      <c r="I1076" t="str">
        <f t="shared" si="16"/>
        <v>Cynoscion virescensSeatrout</v>
      </c>
    </row>
    <row r="1077" spans="1:9" x14ac:dyDescent="0.35">
      <c r="A1077">
        <v>22</v>
      </c>
      <c r="B1077">
        <v>2017</v>
      </c>
      <c r="C1077">
        <v>1</v>
      </c>
      <c r="D1077" t="s">
        <v>176</v>
      </c>
      <c r="E1077" t="s">
        <v>348</v>
      </c>
      <c r="F1077" t="s">
        <v>50</v>
      </c>
      <c r="G1077" t="s">
        <v>56</v>
      </c>
      <c r="H1077" s="4">
        <v>94</v>
      </c>
      <c r="I1077" t="str">
        <f t="shared" si="16"/>
        <v>Trichiurus lepturusSilverbelt</v>
      </c>
    </row>
    <row r="1078" spans="1:9" x14ac:dyDescent="0.35">
      <c r="A1078">
        <v>22</v>
      </c>
      <c r="B1078">
        <v>2017</v>
      </c>
      <c r="C1078">
        <v>1</v>
      </c>
      <c r="D1078" t="s">
        <v>176</v>
      </c>
      <c r="E1078" t="s">
        <v>348</v>
      </c>
      <c r="F1078" t="s">
        <v>50</v>
      </c>
      <c r="G1078" t="s">
        <v>56</v>
      </c>
      <c r="H1078" s="4">
        <v>94</v>
      </c>
      <c r="I1078" t="str">
        <f t="shared" si="16"/>
        <v>Trichiurus lepturusSilverbelt</v>
      </c>
    </row>
    <row r="1079" spans="1:9" x14ac:dyDescent="0.35">
      <c r="A1079">
        <v>22</v>
      </c>
      <c r="B1079">
        <v>2017</v>
      </c>
      <c r="C1079">
        <v>1</v>
      </c>
      <c r="D1079" t="s">
        <v>176</v>
      </c>
      <c r="E1079" t="s">
        <v>348</v>
      </c>
      <c r="F1079" t="s">
        <v>50</v>
      </c>
      <c r="G1079" t="s">
        <v>56</v>
      </c>
      <c r="H1079" s="4">
        <v>53</v>
      </c>
      <c r="I1079" t="str">
        <f t="shared" si="16"/>
        <v>Trichiurus lepturusSilverbelt</v>
      </c>
    </row>
    <row r="1080" spans="1:9" x14ac:dyDescent="0.35">
      <c r="A1080">
        <v>22</v>
      </c>
      <c r="B1080">
        <v>2017</v>
      </c>
      <c r="C1080">
        <v>1</v>
      </c>
      <c r="D1080" t="s">
        <v>176</v>
      </c>
      <c r="E1080" t="s">
        <v>348</v>
      </c>
      <c r="F1080" t="s">
        <v>50</v>
      </c>
      <c r="G1080" t="s">
        <v>56</v>
      </c>
      <c r="H1080" s="4">
        <v>53</v>
      </c>
      <c r="I1080" t="str">
        <f t="shared" si="16"/>
        <v>Trichiurus lepturusSilverbelt</v>
      </c>
    </row>
    <row r="1081" spans="1:9" x14ac:dyDescent="0.35">
      <c r="A1081">
        <v>22</v>
      </c>
      <c r="B1081">
        <v>2017</v>
      </c>
      <c r="C1081">
        <v>1</v>
      </c>
      <c r="D1081" t="s">
        <v>176</v>
      </c>
      <c r="E1081" t="s">
        <v>348</v>
      </c>
      <c r="F1081" t="s">
        <v>50</v>
      </c>
      <c r="G1081" t="s">
        <v>56</v>
      </c>
      <c r="H1081" s="4">
        <v>53</v>
      </c>
      <c r="I1081" t="str">
        <f t="shared" si="16"/>
        <v>Trichiurus lepturusSilverbelt</v>
      </c>
    </row>
    <row r="1082" spans="1:9" x14ac:dyDescent="0.35">
      <c r="A1082">
        <v>22</v>
      </c>
      <c r="B1082">
        <v>2017</v>
      </c>
      <c r="C1082">
        <v>1</v>
      </c>
      <c r="D1082" t="s">
        <v>176</v>
      </c>
      <c r="E1082" t="s">
        <v>348</v>
      </c>
      <c r="F1082" t="s">
        <v>50</v>
      </c>
      <c r="G1082" t="s">
        <v>56</v>
      </c>
      <c r="H1082" s="4">
        <v>56</v>
      </c>
      <c r="I1082" t="str">
        <f t="shared" si="16"/>
        <v>Trichiurus lepturusSilverbelt</v>
      </c>
    </row>
    <row r="1083" spans="1:9" x14ac:dyDescent="0.35">
      <c r="A1083">
        <v>22</v>
      </c>
      <c r="B1083">
        <v>2017</v>
      </c>
      <c r="C1083">
        <v>1</v>
      </c>
      <c r="D1083" t="s">
        <v>176</v>
      </c>
      <c r="E1083" t="s">
        <v>348</v>
      </c>
      <c r="F1083" t="s">
        <v>50</v>
      </c>
      <c r="G1083" t="s">
        <v>56</v>
      </c>
      <c r="H1083" s="4">
        <v>56</v>
      </c>
      <c r="I1083" t="str">
        <f t="shared" si="16"/>
        <v>Trichiurus lepturusSilverbelt</v>
      </c>
    </row>
    <row r="1084" spans="1:9" x14ac:dyDescent="0.35">
      <c r="A1084">
        <v>22</v>
      </c>
      <c r="B1084">
        <v>2017</v>
      </c>
      <c r="C1084">
        <v>1</v>
      </c>
      <c r="D1084" t="s">
        <v>176</v>
      </c>
      <c r="E1084" t="s">
        <v>348</v>
      </c>
      <c r="F1084" t="s">
        <v>50</v>
      </c>
      <c r="G1084" t="s">
        <v>56</v>
      </c>
      <c r="H1084" s="4">
        <v>52</v>
      </c>
      <c r="I1084" t="str">
        <f t="shared" si="16"/>
        <v>Trichiurus lepturusSilverbelt</v>
      </c>
    </row>
    <row r="1085" spans="1:9" x14ac:dyDescent="0.35">
      <c r="A1085">
        <v>22</v>
      </c>
      <c r="B1085">
        <v>2017</v>
      </c>
      <c r="C1085">
        <v>1</v>
      </c>
      <c r="D1085" t="s">
        <v>176</v>
      </c>
      <c r="E1085" t="s">
        <v>348</v>
      </c>
      <c r="F1085" t="s">
        <v>50</v>
      </c>
      <c r="G1085" t="s">
        <v>56</v>
      </c>
      <c r="H1085" s="4">
        <v>52</v>
      </c>
      <c r="I1085" t="str">
        <f t="shared" si="16"/>
        <v>Trichiurus lepturusSilverbelt</v>
      </c>
    </row>
    <row r="1086" spans="1:9" x14ac:dyDescent="0.35">
      <c r="A1086">
        <v>22</v>
      </c>
      <c r="B1086">
        <v>2017</v>
      </c>
      <c r="C1086">
        <v>1</v>
      </c>
      <c r="D1086" t="s">
        <v>176</v>
      </c>
      <c r="E1086" t="s">
        <v>348</v>
      </c>
      <c r="F1086" t="s">
        <v>50</v>
      </c>
      <c r="G1086" t="s">
        <v>56</v>
      </c>
      <c r="H1086" s="4">
        <v>64</v>
      </c>
      <c r="I1086" t="str">
        <f t="shared" si="16"/>
        <v>Trichiurus lepturusSilverbelt</v>
      </c>
    </row>
    <row r="1087" spans="1:9" x14ac:dyDescent="0.35">
      <c r="A1087">
        <v>22</v>
      </c>
      <c r="B1087">
        <v>2017</v>
      </c>
      <c r="C1087">
        <v>1</v>
      </c>
      <c r="D1087" t="s">
        <v>176</v>
      </c>
      <c r="E1087" t="s">
        <v>348</v>
      </c>
      <c r="F1087" t="s">
        <v>50</v>
      </c>
      <c r="G1087" t="s">
        <v>56</v>
      </c>
      <c r="H1087" s="4">
        <v>51</v>
      </c>
      <c r="I1087" t="str">
        <f t="shared" si="16"/>
        <v>Trichiurus lepturusSilverbelt</v>
      </c>
    </row>
    <row r="1088" spans="1:9" x14ac:dyDescent="0.35">
      <c r="A1088">
        <v>22</v>
      </c>
      <c r="B1088">
        <v>2017</v>
      </c>
      <c r="C1088">
        <v>1</v>
      </c>
      <c r="D1088" t="s">
        <v>176</v>
      </c>
      <c r="E1088" t="s">
        <v>348</v>
      </c>
      <c r="F1088" t="s">
        <v>50</v>
      </c>
      <c r="G1088" t="s">
        <v>56</v>
      </c>
      <c r="H1088" s="4">
        <v>51</v>
      </c>
      <c r="I1088" t="str">
        <f t="shared" si="16"/>
        <v>Trichiurus lepturusSilverbelt</v>
      </c>
    </row>
    <row r="1089" spans="1:9" x14ac:dyDescent="0.35">
      <c r="A1089">
        <v>22</v>
      </c>
      <c r="B1089">
        <v>2017</v>
      </c>
      <c r="C1089">
        <v>1</v>
      </c>
      <c r="D1089" t="s">
        <v>176</v>
      </c>
      <c r="E1089" t="s">
        <v>348</v>
      </c>
      <c r="F1089" t="s">
        <v>50</v>
      </c>
      <c r="G1089" t="s">
        <v>56</v>
      </c>
      <c r="H1089" s="4">
        <v>61</v>
      </c>
      <c r="I1089" t="str">
        <f t="shared" si="16"/>
        <v>Trichiurus lepturusSilverbelt</v>
      </c>
    </row>
    <row r="1090" spans="1:9" x14ac:dyDescent="0.35">
      <c r="A1090">
        <v>22</v>
      </c>
      <c r="B1090">
        <v>2017</v>
      </c>
      <c r="C1090">
        <v>1</v>
      </c>
      <c r="D1090" t="s">
        <v>176</v>
      </c>
      <c r="E1090" t="s">
        <v>348</v>
      </c>
      <c r="F1090" t="s">
        <v>50</v>
      </c>
      <c r="G1090" t="s">
        <v>56</v>
      </c>
      <c r="H1090" s="4">
        <v>61</v>
      </c>
      <c r="I1090" t="str">
        <f t="shared" ref="I1090:I1153" si="17">CONCATENATE(F1090,G1090)</f>
        <v>Trichiurus lepturusSilverbelt</v>
      </c>
    </row>
    <row r="1091" spans="1:9" x14ac:dyDescent="0.35">
      <c r="A1091">
        <v>22</v>
      </c>
      <c r="B1091">
        <v>2017</v>
      </c>
      <c r="C1091">
        <v>1</v>
      </c>
      <c r="D1091" t="s">
        <v>176</v>
      </c>
      <c r="E1091" t="s">
        <v>348</v>
      </c>
      <c r="F1091" t="s">
        <v>50</v>
      </c>
      <c r="G1091" t="s">
        <v>56</v>
      </c>
      <c r="H1091" s="4">
        <v>61</v>
      </c>
      <c r="I1091" t="str">
        <f t="shared" si="17"/>
        <v>Trichiurus lepturusSilverbelt</v>
      </c>
    </row>
    <row r="1092" spans="1:9" x14ac:dyDescent="0.35">
      <c r="A1092">
        <v>22</v>
      </c>
      <c r="B1092">
        <v>2017</v>
      </c>
      <c r="C1092">
        <v>1</v>
      </c>
      <c r="D1092" t="s">
        <v>176</v>
      </c>
      <c r="E1092" t="s">
        <v>348</v>
      </c>
      <c r="F1092" t="s">
        <v>50</v>
      </c>
      <c r="G1092" t="s">
        <v>56</v>
      </c>
      <c r="H1092" s="4">
        <v>61</v>
      </c>
      <c r="I1092" t="str">
        <f t="shared" si="17"/>
        <v>Trichiurus lepturusSilverbelt</v>
      </c>
    </row>
    <row r="1093" spans="1:9" x14ac:dyDescent="0.35">
      <c r="A1093">
        <v>22</v>
      </c>
      <c r="B1093">
        <v>2017</v>
      </c>
      <c r="C1093">
        <v>1</v>
      </c>
      <c r="D1093" t="s">
        <v>176</v>
      </c>
      <c r="E1093" t="s">
        <v>348</v>
      </c>
      <c r="F1093" t="s">
        <v>50</v>
      </c>
      <c r="G1093" t="s">
        <v>56</v>
      </c>
      <c r="H1093" s="4">
        <v>61</v>
      </c>
      <c r="I1093" t="str">
        <f t="shared" si="17"/>
        <v>Trichiurus lepturusSilverbelt</v>
      </c>
    </row>
    <row r="1094" spans="1:9" x14ac:dyDescent="0.35">
      <c r="A1094">
        <v>22</v>
      </c>
      <c r="B1094">
        <v>2017</v>
      </c>
      <c r="C1094">
        <v>1</v>
      </c>
      <c r="D1094" t="s">
        <v>176</v>
      </c>
      <c r="E1094" t="s">
        <v>348</v>
      </c>
      <c r="F1094" t="s">
        <v>50</v>
      </c>
      <c r="G1094" t="s">
        <v>56</v>
      </c>
      <c r="H1094" s="4">
        <v>69</v>
      </c>
      <c r="I1094" t="str">
        <f t="shared" si="17"/>
        <v>Trichiurus lepturusSilverbelt</v>
      </c>
    </row>
    <row r="1095" spans="1:9" x14ac:dyDescent="0.35">
      <c r="A1095">
        <v>22</v>
      </c>
      <c r="B1095">
        <v>2017</v>
      </c>
      <c r="C1095">
        <v>1</v>
      </c>
      <c r="D1095" t="s">
        <v>176</v>
      </c>
      <c r="E1095" t="s">
        <v>348</v>
      </c>
      <c r="F1095" t="s">
        <v>50</v>
      </c>
      <c r="G1095" t="s">
        <v>56</v>
      </c>
      <c r="H1095" s="4">
        <v>70</v>
      </c>
      <c r="I1095" t="str">
        <f t="shared" si="17"/>
        <v>Trichiurus lepturusSilverbelt</v>
      </c>
    </row>
    <row r="1096" spans="1:9" x14ac:dyDescent="0.35">
      <c r="A1096">
        <v>22</v>
      </c>
      <c r="B1096">
        <v>2017</v>
      </c>
      <c r="C1096">
        <v>1</v>
      </c>
      <c r="D1096" t="s">
        <v>176</v>
      </c>
      <c r="E1096" t="s">
        <v>348</v>
      </c>
      <c r="F1096" t="s">
        <v>50</v>
      </c>
      <c r="G1096" t="s">
        <v>56</v>
      </c>
      <c r="H1096" s="4">
        <v>70</v>
      </c>
      <c r="I1096" t="str">
        <f t="shared" si="17"/>
        <v>Trichiurus lepturusSilverbelt</v>
      </c>
    </row>
    <row r="1097" spans="1:9" x14ac:dyDescent="0.35">
      <c r="A1097">
        <v>22</v>
      </c>
      <c r="B1097">
        <v>2017</v>
      </c>
      <c r="C1097">
        <v>1</v>
      </c>
      <c r="D1097" t="s">
        <v>176</v>
      </c>
      <c r="E1097" t="s">
        <v>348</v>
      </c>
      <c r="F1097" t="s">
        <v>50</v>
      </c>
      <c r="G1097" t="s">
        <v>56</v>
      </c>
      <c r="H1097" s="4">
        <v>57</v>
      </c>
      <c r="I1097" t="str">
        <f t="shared" si="17"/>
        <v>Trichiurus lepturusSilverbelt</v>
      </c>
    </row>
    <row r="1098" spans="1:9" x14ac:dyDescent="0.35">
      <c r="A1098">
        <v>22</v>
      </c>
      <c r="B1098">
        <v>2017</v>
      </c>
      <c r="C1098">
        <v>1</v>
      </c>
      <c r="D1098" t="s">
        <v>176</v>
      </c>
      <c r="E1098" t="s">
        <v>348</v>
      </c>
      <c r="F1098" t="s">
        <v>50</v>
      </c>
      <c r="G1098" t="s">
        <v>56</v>
      </c>
      <c r="H1098" s="4">
        <v>60</v>
      </c>
      <c r="I1098" t="str">
        <f t="shared" si="17"/>
        <v>Trichiurus lepturusSilverbelt</v>
      </c>
    </row>
    <row r="1099" spans="1:9" x14ac:dyDescent="0.35">
      <c r="A1099">
        <v>22</v>
      </c>
      <c r="B1099">
        <v>2017</v>
      </c>
      <c r="C1099">
        <v>1</v>
      </c>
      <c r="D1099" t="s">
        <v>176</v>
      </c>
      <c r="E1099" t="s">
        <v>348</v>
      </c>
      <c r="F1099" t="s">
        <v>50</v>
      </c>
      <c r="G1099" t="s">
        <v>56</v>
      </c>
      <c r="H1099" s="4">
        <v>55</v>
      </c>
      <c r="I1099" t="str">
        <f t="shared" si="17"/>
        <v>Trichiurus lepturusSilverbelt</v>
      </c>
    </row>
    <row r="1100" spans="1:9" x14ac:dyDescent="0.35">
      <c r="A1100">
        <v>22</v>
      </c>
      <c r="B1100">
        <v>2017</v>
      </c>
      <c r="C1100">
        <v>1</v>
      </c>
      <c r="D1100" t="s">
        <v>176</v>
      </c>
      <c r="E1100" t="s">
        <v>348</v>
      </c>
      <c r="F1100" t="s">
        <v>50</v>
      </c>
      <c r="G1100" t="s">
        <v>56</v>
      </c>
      <c r="H1100" s="4">
        <v>67</v>
      </c>
      <c r="I1100" t="str">
        <f t="shared" si="17"/>
        <v>Trichiurus lepturusSilverbelt</v>
      </c>
    </row>
    <row r="1101" spans="1:9" x14ac:dyDescent="0.35">
      <c r="A1101">
        <v>22</v>
      </c>
      <c r="B1101">
        <v>2017</v>
      </c>
      <c r="C1101">
        <v>1</v>
      </c>
      <c r="D1101" t="s">
        <v>176</v>
      </c>
      <c r="E1101" t="s">
        <v>348</v>
      </c>
      <c r="F1101" t="s">
        <v>50</v>
      </c>
      <c r="G1101" t="s">
        <v>56</v>
      </c>
      <c r="H1101" s="4">
        <v>76</v>
      </c>
      <c r="I1101" t="str">
        <f t="shared" si="17"/>
        <v>Trichiurus lepturusSilverbelt</v>
      </c>
    </row>
    <row r="1102" spans="1:9" x14ac:dyDescent="0.35">
      <c r="A1102">
        <v>22</v>
      </c>
      <c r="B1102">
        <v>2017</v>
      </c>
      <c r="C1102">
        <v>1</v>
      </c>
      <c r="D1102" t="s">
        <v>176</v>
      </c>
      <c r="E1102" t="s">
        <v>348</v>
      </c>
      <c r="F1102" t="s">
        <v>50</v>
      </c>
      <c r="G1102" t="s">
        <v>56</v>
      </c>
      <c r="H1102" s="4">
        <v>77</v>
      </c>
      <c r="I1102" t="str">
        <f t="shared" si="17"/>
        <v>Trichiurus lepturusSilverbelt</v>
      </c>
    </row>
    <row r="1103" spans="1:9" x14ac:dyDescent="0.35">
      <c r="A1103">
        <v>22</v>
      </c>
      <c r="B1103">
        <v>2017</v>
      </c>
      <c r="C1103">
        <v>1</v>
      </c>
      <c r="D1103" t="s">
        <v>176</v>
      </c>
      <c r="E1103" t="s">
        <v>348</v>
      </c>
      <c r="F1103" t="s">
        <v>50</v>
      </c>
      <c r="G1103" t="s">
        <v>56</v>
      </c>
      <c r="H1103" s="4">
        <v>59</v>
      </c>
      <c r="I1103" t="str">
        <f t="shared" si="17"/>
        <v>Trichiurus lepturusSilverbelt</v>
      </c>
    </row>
    <row r="1104" spans="1:9" x14ac:dyDescent="0.35">
      <c r="A1104">
        <v>22</v>
      </c>
      <c r="B1104">
        <v>2017</v>
      </c>
      <c r="C1104">
        <v>1</v>
      </c>
      <c r="D1104" t="s">
        <v>176</v>
      </c>
      <c r="E1104" t="s">
        <v>348</v>
      </c>
      <c r="F1104" t="s">
        <v>50</v>
      </c>
      <c r="G1104" t="s">
        <v>56</v>
      </c>
      <c r="H1104" s="4">
        <v>44</v>
      </c>
      <c r="I1104" t="str">
        <f t="shared" si="17"/>
        <v>Trichiurus lepturusSilverbelt</v>
      </c>
    </row>
    <row r="1105" spans="1:9" x14ac:dyDescent="0.35">
      <c r="A1105">
        <v>22</v>
      </c>
      <c r="B1105">
        <v>2017</v>
      </c>
      <c r="C1105">
        <v>1</v>
      </c>
      <c r="D1105" t="s">
        <v>176</v>
      </c>
      <c r="E1105" t="s">
        <v>348</v>
      </c>
      <c r="F1105" t="s">
        <v>50</v>
      </c>
      <c r="G1105" t="s">
        <v>56</v>
      </c>
      <c r="H1105" s="4">
        <v>54</v>
      </c>
      <c r="I1105" t="str">
        <f t="shared" si="17"/>
        <v>Trichiurus lepturusSilverbelt</v>
      </c>
    </row>
    <row r="1106" spans="1:9" x14ac:dyDescent="0.35">
      <c r="A1106">
        <v>22</v>
      </c>
      <c r="B1106">
        <v>2017</v>
      </c>
      <c r="C1106">
        <v>1</v>
      </c>
      <c r="D1106" t="s">
        <v>176</v>
      </c>
      <c r="E1106" t="s">
        <v>348</v>
      </c>
      <c r="F1106" t="s">
        <v>50</v>
      </c>
      <c r="G1106" t="s">
        <v>56</v>
      </c>
      <c r="H1106" s="4">
        <v>48</v>
      </c>
      <c r="I1106" t="str">
        <f t="shared" si="17"/>
        <v>Trichiurus lepturusSilverbelt</v>
      </c>
    </row>
    <row r="1107" spans="1:9" x14ac:dyDescent="0.35">
      <c r="A1107">
        <v>22</v>
      </c>
      <c r="B1107">
        <v>2017</v>
      </c>
      <c r="C1107">
        <v>1</v>
      </c>
      <c r="D1107" t="s">
        <v>176</v>
      </c>
      <c r="E1107" t="s">
        <v>348</v>
      </c>
      <c r="F1107" t="s">
        <v>50</v>
      </c>
      <c r="G1107" t="s">
        <v>56</v>
      </c>
      <c r="H1107" s="4">
        <v>50</v>
      </c>
      <c r="I1107" t="str">
        <f t="shared" si="17"/>
        <v>Trichiurus lepturusSilverbelt</v>
      </c>
    </row>
    <row r="1108" spans="1:9" x14ac:dyDescent="0.35">
      <c r="A1108">
        <v>22</v>
      </c>
      <c r="B1108">
        <v>2017</v>
      </c>
      <c r="C1108">
        <v>1</v>
      </c>
      <c r="D1108" t="s">
        <v>176</v>
      </c>
      <c r="E1108" t="s">
        <v>348</v>
      </c>
      <c r="F1108" t="s">
        <v>122</v>
      </c>
      <c r="G1108" t="s">
        <v>53</v>
      </c>
      <c r="H1108" s="4">
        <v>11</v>
      </c>
      <c r="I1108" t="str">
        <f t="shared" si="17"/>
        <v>Pellona harroweriRiver Pellona</v>
      </c>
    </row>
    <row r="1109" spans="1:9" x14ac:dyDescent="0.35">
      <c r="A1109">
        <v>22</v>
      </c>
      <c r="B1109">
        <v>2017</v>
      </c>
      <c r="C1109">
        <v>1</v>
      </c>
      <c r="D1109" t="s">
        <v>176</v>
      </c>
      <c r="E1109" t="s">
        <v>348</v>
      </c>
      <c r="F1109" t="s">
        <v>122</v>
      </c>
      <c r="G1109" t="s">
        <v>53</v>
      </c>
      <c r="H1109" s="4">
        <v>12</v>
      </c>
      <c r="I1109" t="str">
        <f t="shared" si="17"/>
        <v>Pellona harroweriRiver Pellona</v>
      </c>
    </row>
    <row r="1110" spans="1:9" x14ac:dyDescent="0.35">
      <c r="A1110">
        <v>22</v>
      </c>
      <c r="B1110">
        <v>2017</v>
      </c>
      <c r="C1110">
        <v>1</v>
      </c>
      <c r="D1110" t="s">
        <v>176</v>
      </c>
      <c r="E1110" t="s">
        <v>348</v>
      </c>
      <c r="F1110" t="s">
        <v>122</v>
      </c>
      <c r="G1110" t="s">
        <v>53</v>
      </c>
      <c r="H1110" s="4">
        <v>12</v>
      </c>
      <c r="I1110" t="str">
        <f t="shared" si="17"/>
        <v>Pellona harroweriRiver Pellona</v>
      </c>
    </row>
    <row r="1111" spans="1:9" x14ac:dyDescent="0.35">
      <c r="A1111">
        <v>22</v>
      </c>
      <c r="B1111">
        <v>2017</v>
      </c>
      <c r="C1111">
        <v>1</v>
      </c>
      <c r="D1111" t="s">
        <v>176</v>
      </c>
      <c r="E1111" t="s">
        <v>348</v>
      </c>
      <c r="F1111" t="s">
        <v>122</v>
      </c>
      <c r="G1111" t="s">
        <v>53</v>
      </c>
      <c r="H1111" s="4">
        <v>13</v>
      </c>
      <c r="I1111" t="str">
        <f t="shared" si="17"/>
        <v>Pellona harroweriRiver Pellona</v>
      </c>
    </row>
    <row r="1112" spans="1:9" x14ac:dyDescent="0.35">
      <c r="A1112">
        <v>22</v>
      </c>
      <c r="B1112">
        <v>2017</v>
      </c>
      <c r="C1112">
        <v>1</v>
      </c>
      <c r="D1112" t="s">
        <v>176</v>
      </c>
      <c r="E1112" t="s">
        <v>348</v>
      </c>
      <c r="F1112" t="s">
        <v>122</v>
      </c>
      <c r="G1112" t="s">
        <v>53</v>
      </c>
      <c r="H1112" s="4">
        <v>13</v>
      </c>
      <c r="I1112" t="str">
        <f t="shared" si="17"/>
        <v>Pellona harroweriRiver Pellona</v>
      </c>
    </row>
    <row r="1113" spans="1:9" x14ac:dyDescent="0.35">
      <c r="A1113">
        <v>22</v>
      </c>
      <c r="B1113">
        <v>2017</v>
      </c>
      <c r="C1113">
        <v>1</v>
      </c>
      <c r="D1113" t="s">
        <v>176</v>
      </c>
      <c r="E1113" t="s">
        <v>348</v>
      </c>
      <c r="F1113" t="s">
        <v>122</v>
      </c>
      <c r="G1113" t="s">
        <v>53</v>
      </c>
      <c r="H1113" s="4">
        <v>13</v>
      </c>
      <c r="I1113" t="str">
        <f t="shared" si="17"/>
        <v>Pellona harroweriRiver Pellona</v>
      </c>
    </row>
    <row r="1114" spans="1:9" x14ac:dyDescent="0.35">
      <c r="A1114">
        <v>22</v>
      </c>
      <c r="B1114">
        <v>2017</v>
      </c>
      <c r="C1114">
        <v>1</v>
      </c>
      <c r="D1114" t="s">
        <v>176</v>
      </c>
      <c r="E1114" t="s">
        <v>348</v>
      </c>
      <c r="F1114" t="s">
        <v>122</v>
      </c>
      <c r="G1114" t="s">
        <v>53</v>
      </c>
      <c r="H1114" s="4">
        <v>14</v>
      </c>
      <c r="I1114" t="str">
        <f t="shared" si="17"/>
        <v>Pellona harroweriRiver Pellona</v>
      </c>
    </row>
    <row r="1115" spans="1:9" x14ac:dyDescent="0.35">
      <c r="A1115">
        <v>22</v>
      </c>
      <c r="B1115">
        <v>2017</v>
      </c>
      <c r="C1115">
        <v>1</v>
      </c>
      <c r="D1115" t="s">
        <v>176</v>
      </c>
      <c r="E1115" t="s">
        <v>348</v>
      </c>
      <c r="F1115" t="s">
        <v>122</v>
      </c>
      <c r="G1115" t="s">
        <v>53</v>
      </c>
      <c r="H1115" s="4">
        <v>14</v>
      </c>
      <c r="I1115" t="str">
        <f t="shared" si="17"/>
        <v>Pellona harroweriRiver Pellona</v>
      </c>
    </row>
    <row r="1116" spans="1:9" x14ac:dyDescent="0.35">
      <c r="A1116">
        <v>22</v>
      </c>
      <c r="B1116">
        <v>2017</v>
      </c>
      <c r="C1116">
        <v>1</v>
      </c>
      <c r="D1116" t="s">
        <v>176</v>
      </c>
      <c r="E1116" t="s">
        <v>348</v>
      </c>
      <c r="F1116" t="s">
        <v>122</v>
      </c>
      <c r="G1116" t="s">
        <v>53</v>
      </c>
      <c r="H1116" s="4">
        <v>14</v>
      </c>
      <c r="I1116" t="str">
        <f t="shared" si="17"/>
        <v>Pellona harroweriRiver Pellona</v>
      </c>
    </row>
    <row r="1117" spans="1:9" x14ac:dyDescent="0.35">
      <c r="A1117">
        <v>22</v>
      </c>
      <c r="B1117">
        <v>2017</v>
      </c>
      <c r="C1117">
        <v>1</v>
      </c>
      <c r="D1117" t="s">
        <v>176</v>
      </c>
      <c r="E1117" t="s">
        <v>348</v>
      </c>
      <c r="F1117" t="s">
        <v>122</v>
      </c>
      <c r="G1117" t="s">
        <v>53</v>
      </c>
      <c r="H1117" s="4">
        <v>14</v>
      </c>
      <c r="I1117" t="str">
        <f t="shared" si="17"/>
        <v>Pellona harroweriRiver Pellona</v>
      </c>
    </row>
    <row r="1118" spans="1:9" x14ac:dyDescent="0.35">
      <c r="A1118">
        <v>22</v>
      </c>
      <c r="B1118">
        <v>2017</v>
      </c>
      <c r="C1118">
        <v>1</v>
      </c>
      <c r="D1118" t="s">
        <v>176</v>
      </c>
      <c r="E1118" t="s">
        <v>348</v>
      </c>
      <c r="F1118" t="s">
        <v>122</v>
      </c>
      <c r="G1118" t="s">
        <v>53</v>
      </c>
      <c r="H1118" s="4">
        <v>15</v>
      </c>
      <c r="I1118" t="str">
        <f t="shared" si="17"/>
        <v>Pellona harroweriRiver Pellona</v>
      </c>
    </row>
    <row r="1119" spans="1:9" x14ac:dyDescent="0.35">
      <c r="A1119">
        <v>22</v>
      </c>
      <c r="B1119">
        <v>2017</v>
      </c>
      <c r="C1119">
        <v>1</v>
      </c>
      <c r="D1119" t="s">
        <v>176</v>
      </c>
      <c r="E1119" t="s">
        <v>348</v>
      </c>
      <c r="F1119" t="s">
        <v>122</v>
      </c>
      <c r="G1119" t="s">
        <v>53</v>
      </c>
      <c r="H1119" s="4">
        <v>16</v>
      </c>
      <c r="I1119" t="str">
        <f t="shared" si="17"/>
        <v>Pellona harroweriRiver Pellona</v>
      </c>
    </row>
    <row r="1120" spans="1:9" x14ac:dyDescent="0.35">
      <c r="A1120">
        <v>22</v>
      </c>
      <c r="B1120">
        <v>2017</v>
      </c>
      <c r="C1120">
        <v>1</v>
      </c>
      <c r="D1120" t="s">
        <v>176</v>
      </c>
      <c r="E1120" t="s">
        <v>348</v>
      </c>
      <c r="F1120" t="s">
        <v>122</v>
      </c>
      <c r="G1120" t="s">
        <v>53</v>
      </c>
      <c r="H1120" s="4">
        <v>17</v>
      </c>
      <c r="I1120" t="str">
        <f t="shared" si="17"/>
        <v>Pellona harroweriRiver Pellona</v>
      </c>
    </row>
    <row r="1121" spans="1:9" x14ac:dyDescent="0.35">
      <c r="A1121">
        <v>22</v>
      </c>
      <c r="B1121">
        <v>2017</v>
      </c>
      <c r="C1121">
        <v>1</v>
      </c>
      <c r="D1121" t="s">
        <v>176</v>
      </c>
      <c r="E1121" t="s">
        <v>348</v>
      </c>
      <c r="F1121" t="s">
        <v>122</v>
      </c>
      <c r="G1121" t="s">
        <v>53</v>
      </c>
      <c r="H1121" s="4">
        <v>10</v>
      </c>
      <c r="I1121" t="str">
        <f t="shared" si="17"/>
        <v>Pellona harroweriRiver Pellona</v>
      </c>
    </row>
    <row r="1122" spans="1:9" x14ac:dyDescent="0.35">
      <c r="A1122">
        <v>22</v>
      </c>
      <c r="B1122">
        <v>2017</v>
      </c>
      <c r="C1122">
        <v>1</v>
      </c>
      <c r="D1122" t="s">
        <v>176</v>
      </c>
      <c r="E1122" t="s">
        <v>348</v>
      </c>
      <c r="F1122" t="s">
        <v>122</v>
      </c>
      <c r="G1122" t="s">
        <v>53</v>
      </c>
      <c r="H1122" s="4">
        <v>10</v>
      </c>
      <c r="I1122" t="str">
        <f t="shared" si="17"/>
        <v>Pellona harroweriRiver Pellona</v>
      </c>
    </row>
    <row r="1123" spans="1:9" x14ac:dyDescent="0.35">
      <c r="A1123">
        <v>22</v>
      </c>
      <c r="B1123">
        <v>2017</v>
      </c>
      <c r="C1123">
        <v>1</v>
      </c>
      <c r="D1123" t="s">
        <v>176</v>
      </c>
      <c r="E1123" t="s">
        <v>348</v>
      </c>
      <c r="F1123" t="s">
        <v>122</v>
      </c>
      <c r="G1123" t="s">
        <v>53</v>
      </c>
      <c r="H1123" s="4">
        <v>10</v>
      </c>
      <c r="I1123" t="str">
        <f t="shared" si="17"/>
        <v>Pellona harroweriRiver Pellona</v>
      </c>
    </row>
    <row r="1124" spans="1:9" x14ac:dyDescent="0.35">
      <c r="A1124">
        <v>22</v>
      </c>
      <c r="B1124">
        <v>2017</v>
      </c>
      <c r="C1124">
        <v>1</v>
      </c>
      <c r="D1124" t="s">
        <v>176</v>
      </c>
      <c r="E1124" t="s">
        <v>348</v>
      </c>
      <c r="F1124" t="s">
        <v>122</v>
      </c>
      <c r="G1124" t="s">
        <v>53</v>
      </c>
      <c r="H1124" s="4">
        <v>10</v>
      </c>
      <c r="I1124" t="str">
        <f t="shared" si="17"/>
        <v>Pellona harroweriRiver Pellona</v>
      </c>
    </row>
    <row r="1125" spans="1:9" x14ac:dyDescent="0.35">
      <c r="A1125">
        <v>22</v>
      </c>
      <c r="B1125">
        <v>2017</v>
      </c>
      <c r="C1125">
        <v>1</v>
      </c>
      <c r="D1125" t="s">
        <v>176</v>
      </c>
      <c r="E1125" t="s">
        <v>348</v>
      </c>
      <c r="F1125" t="s">
        <v>122</v>
      </c>
      <c r="G1125" t="s">
        <v>53</v>
      </c>
      <c r="H1125" s="4">
        <v>10</v>
      </c>
      <c r="I1125" t="str">
        <f t="shared" si="17"/>
        <v>Pellona harroweriRiver Pellona</v>
      </c>
    </row>
    <row r="1126" spans="1:9" x14ac:dyDescent="0.35">
      <c r="A1126">
        <v>22</v>
      </c>
      <c r="B1126">
        <v>2017</v>
      </c>
      <c r="C1126">
        <v>1</v>
      </c>
      <c r="D1126" t="s">
        <v>176</v>
      </c>
      <c r="E1126" t="s">
        <v>348</v>
      </c>
      <c r="F1126" t="s">
        <v>122</v>
      </c>
      <c r="G1126" t="s">
        <v>53</v>
      </c>
      <c r="H1126" s="4">
        <v>10</v>
      </c>
      <c r="I1126" t="str">
        <f t="shared" si="17"/>
        <v>Pellona harroweriRiver Pellona</v>
      </c>
    </row>
    <row r="1127" spans="1:9" x14ac:dyDescent="0.35">
      <c r="A1127">
        <v>22</v>
      </c>
      <c r="B1127">
        <v>2017</v>
      </c>
      <c r="C1127">
        <v>1</v>
      </c>
      <c r="D1127" t="s">
        <v>176</v>
      </c>
      <c r="E1127" t="s">
        <v>348</v>
      </c>
      <c r="F1127" t="s">
        <v>122</v>
      </c>
      <c r="G1127" t="s">
        <v>53</v>
      </c>
      <c r="H1127" s="4">
        <v>10</v>
      </c>
      <c r="I1127" t="str">
        <f t="shared" si="17"/>
        <v>Pellona harroweriRiver Pellona</v>
      </c>
    </row>
    <row r="1128" spans="1:9" x14ac:dyDescent="0.35">
      <c r="A1128">
        <v>22</v>
      </c>
      <c r="B1128">
        <v>2017</v>
      </c>
      <c r="C1128">
        <v>1</v>
      </c>
      <c r="D1128" t="s">
        <v>176</v>
      </c>
      <c r="E1128" t="s">
        <v>348</v>
      </c>
      <c r="F1128" t="s">
        <v>122</v>
      </c>
      <c r="G1128" t="s">
        <v>53</v>
      </c>
      <c r="H1128" s="4">
        <v>10</v>
      </c>
      <c r="I1128" t="str">
        <f t="shared" si="17"/>
        <v>Pellona harroweriRiver Pellona</v>
      </c>
    </row>
    <row r="1129" spans="1:9" x14ac:dyDescent="0.35">
      <c r="A1129">
        <v>22</v>
      </c>
      <c r="B1129">
        <v>2017</v>
      </c>
      <c r="C1129">
        <v>1</v>
      </c>
      <c r="D1129" t="s">
        <v>176</v>
      </c>
      <c r="E1129" t="s">
        <v>348</v>
      </c>
      <c r="F1129" t="s">
        <v>122</v>
      </c>
      <c r="G1129" t="s">
        <v>53</v>
      </c>
      <c r="H1129" s="4">
        <v>10</v>
      </c>
      <c r="I1129" t="str">
        <f t="shared" si="17"/>
        <v>Pellona harroweriRiver Pellona</v>
      </c>
    </row>
    <row r="1130" spans="1:9" x14ac:dyDescent="0.35">
      <c r="A1130">
        <v>22</v>
      </c>
      <c r="B1130">
        <v>2017</v>
      </c>
      <c r="C1130">
        <v>1</v>
      </c>
      <c r="D1130" t="s">
        <v>176</v>
      </c>
      <c r="E1130" t="s">
        <v>348</v>
      </c>
      <c r="F1130" t="s">
        <v>122</v>
      </c>
      <c r="G1130" t="s">
        <v>53</v>
      </c>
      <c r="H1130" s="4">
        <v>9</v>
      </c>
      <c r="I1130" t="str">
        <f t="shared" si="17"/>
        <v>Pellona harroweriRiver Pellona</v>
      </c>
    </row>
    <row r="1131" spans="1:9" x14ac:dyDescent="0.35">
      <c r="A1131">
        <v>22</v>
      </c>
      <c r="B1131">
        <v>2017</v>
      </c>
      <c r="C1131">
        <v>1</v>
      </c>
      <c r="D1131" t="s">
        <v>176</v>
      </c>
      <c r="E1131" t="s">
        <v>348</v>
      </c>
      <c r="F1131" t="s">
        <v>122</v>
      </c>
      <c r="G1131" t="s">
        <v>53</v>
      </c>
      <c r="H1131" s="4">
        <v>9</v>
      </c>
      <c r="I1131" t="str">
        <f t="shared" si="17"/>
        <v>Pellona harroweriRiver Pellona</v>
      </c>
    </row>
    <row r="1132" spans="1:9" x14ac:dyDescent="0.35">
      <c r="A1132">
        <v>22</v>
      </c>
      <c r="B1132">
        <v>2017</v>
      </c>
      <c r="C1132">
        <v>1</v>
      </c>
      <c r="D1132" t="s">
        <v>176</v>
      </c>
      <c r="E1132" t="s">
        <v>348</v>
      </c>
      <c r="F1132" t="s">
        <v>122</v>
      </c>
      <c r="G1132" t="s">
        <v>53</v>
      </c>
      <c r="H1132" s="4">
        <v>9</v>
      </c>
      <c r="I1132" t="str">
        <f t="shared" si="17"/>
        <v>Pellona harroweriRiver Pellona</v>
      </c>
    </row>
    <row r="1133" spans="1:9" x14ac:dyDescent="0.35">
      <c r="A1133">
        <v>22</v>
      </c>
      <c r="B1133">
        <v>2017</v>
      </c>
      <c r="C1133">
        <v>1</v>
      </c>
      <c r="D1133" t="s">
        <v>176</v>
      </c>
      <c r="E1133" t="s">
        <v>348</v>
      </c>
      <c r="F1133" t="s">
        <v>122</v>
      </c>
      <c r="G1133" t="s">
        <v>53</v>
      </c>
      <c r="H1133" s="4">
        <v>9</v>
      </c>
      <c r="I1133" t="str">
        <f t="shared" si="17"/>
        <v>Pellona harroweriRiver Pellona</v>
      </c>
    </row>
    <row r="1134" spans="1:9" x14ac:dyDescent="0.35">
      <c r="A1134">
        <v>22</v>
      </c>
      <c r="B1134">
        <v>2017</v>
      </c>
      <c r="C1134">
        <v>1</v>
      </c>
      <c r="D1134" t="s">
        <v>176</v>
      </c>
      <c r="E1134" t="s">
        <v>348</v>
      </c>
      <c r="F1134" t="s">
        <v>122</v>
      </c>
      <c r="G1134" t="s">
        <v>53</v>
      </c>
      <c r="H1134" s="4">
        <v>9</v>
      </c>
      <c r="I1134" t="str">
        <f t="shared" si="17"/>
        <v>Pellona harroweriRiver Pellona</v>
      </c>
    </row>
    <row r="1135" spans="1:9" x14ac:dyDescent="0.35">
      <c r="A1135">
        <v>22</v>
      </c>
      <c r="B1135">
        <v>2017</v>
      </c>
      <c r="C1135">
        <v>1</v>
      </c>
      <c r="D1135" t="s">
        <v>176</v>
      </c>
      <c r="E1135" t="s">
        <v>348</v>
      </c>
      <c r="F1135" t="s">
        <v>122</v>
      </c>
      <c r="G1135" t="s">
        <v>53</v>
      </c>
      <c r="H1135" s="4">
        <v>8</v>
      </c>
      <c r="I1135" t="str">
        <f t="shared" si="17"/>
        <v>Pellona harroweriRiver Pellona</v>
      </c>
    </row>
    <row r="1136" spans="1:9" x14ac:dyDescent="0.35">
      <c r="A1136">
        <v>22</v>
      </c>
      <c r="B1136">
        <v>2017</v>
      </c>
      <c r="C1136">
        <v>1</v>
      </c>
      <c r="D1136" t="s">
        <v>176</v>
      </c>
      <c r="E1136" t="s">
        <v>348</v>
      </c>
      <c r="F1136" t="s">
        <v>122</v>
      </c>
      <c r="G1136" t="s">
        <v>53</v>
      </c>
      <c r="H1136" s="4">
        <v>8</v>
      </c>
      <c r="I1136" t="str">
        <f t="shared" si="17"/>
        <v>Pellona harroweriRiver Pellona</v>
      </c>
    </row>
    <row r="1137" spans="1:9" x14ac:dyDescent="0.35">
      <c r="A1137">
        <v>22</v>
      </c>
      <c r="B1137">
        <v>2017</v>
      </c>
      <c r="C1137">
        <v>1</v>
      </c>
      <c r="D1137" t="s">
        <v>176</v>
      </c>
      <c r="E1137" t="s">
        <v>348</v>
      </c>
      <c r="F1137" t="s">
        <v>122</v>
      </c>
      <c r="G1137" t="s">
        <v>53</v>
      </c>
      <c r="H1137" s="4">
        <v>8</v>
      </c>
      <c r="I1137" t="str">
        <f t="shared" si="17"/>
        <v>Pellona harroweriRiver Pellona</v>
      </c>
    </row>
    <row r="1138" spans="1:9" x14ac:dyDescent="0.35">
      <c r="A1138">
        <v>22</v>
      </c>
      <c r="B1138">
        <v>2017</v>
      </c>
      <c r="C1138">
        <v>1</v>
      </c>
      <c r="D1138" t="s">
        <v>176</v>
      </c>
      <c r="E1138" t="s">
        <v>348</v>
      </c>
      <c r="F1138" t="s">
        <v>122</v>
      </c>
      <c r="G1138" t="s">
        <v>53</v>
      </c>
      <c r="H1138" s="4">
        <v>8</v>
      </c>
      <c r="I1138" t="str">
        <f t="shared" si="17"/>
        <v>Pellona harroweriRiver Pellona</v>
      </c>
    </row>
    <row r="1139" spans="1:9" x14ac:dyDescent="0.35">
      <c r="A1139">
        <v>22</v>
      </c>
      <c r="B1139">
        <v>2017</v>
      </c>
      <c r="C1139">
        <v>1</v>
      </c>
      <c r="D1139" t="s">
        <v>176</v>
      </c>
      <c r="E1139" t="s">
        <v>348</v>
      </c>
      <c r="F1139" t="s">
        <v>122</v>
      </c>
      <c r="G1139" t="s">
        <v>53</v>
      </c>
      <c r="H1139" s="4">
        <v>7</v>
      </c>
      <c r="I1139" t="str">
        <f t="shared" si="17"/>
        <v>Pellona harroweriRiver Pellona</v>
      </c>
    </row>
    <row r="1140" spans="1:9" x14ac:dyDescent="0.35">
      <c r="A1140">
        <v>22</v>
      </c>
      <c r="B1140">
        <v>2017</v>
      </c>
      <c r="C1140">
        <v>1</v>
      </c>
      <c r="D1140" t="s">
        <v>176</v>
      </c>
      <c r="E1140" t="s">
        <v>348</v>
      </c>
      <c r="F1140" t="s">
        <v>122</v>
      </c>
      <c r="G1140" t="s">
        <v>53</v>
      </c>
      <c r="H1140" s="4">
        <v>7</v>
      </c>
      <c r="I1140" t="str">
        <f t="shared" si="17"/>
        <v>Pellona harroweriRiver Pellona</v>
      </c>
    </row>
    <row r="1141" spans="1:9" x14ac:dyDescent="0.35">
      <c r="A1141">
        <v>23</v>
      </c>
      <c r="B1141">
        <v>2017</v>
      </c>
      <c r="C1141">
        <v>2</v>
      </c>
      <c r="D1141" t="s">
        <v>175</v>
      </c>
      <c r="E1141" t="s">
        <v>348</v>
      </c>
      <c r="F1141" t="s">
        <v>5</v>
      </c>
      <c r="G1141" t="s">
        <v>4</v>
      </c>
      <c r="H1141" s="4">
        <v>18</v>
      </c>
      <c r="I1141" t="str">
        <f t="shared" si="17"/>
        <v>Bagre bagreCatfish</v>
      </c>
    </row>
    <row r="1142" spans="1:9" x14ac:dyDescent="0.35">
      <c r="A1142">
        <v>23</v>
      </c>
      <c r="B1142">
        <v>2017</v>
      </c>
      <c r="C1142">
        <v>2</v>
      </c>
      <c r="D1142" t="s">
        <v>175</v>
      </c>
      <c r="E1142" t="s">
        <v>348</v>
      </c>
      <c r="F1142" t="s">
        <v>5</v>
      </c>
      <c r="G1142" t="s">
        <v>4</v>
      </c>
      <c r="H1142" s="4">
        <v>8</v>
      </c>
      <c r="I1142" t="str">
        <f t="shared" si="17"/>
        <v>Bagre bagreCatfish</v>
      </c>
    </row>
    <row r="1143" spans="1:9" x14ac:dyDescent="0.35">
      <c r="A1143">
        <v>23</v>
      </c>
      <c r="B1143">
        <v>2017</v>
      </c>
      <c r="C1143">
        <v>2</v>
      </c>
      <c r="D1143" t="s">
        <v>175</v>
      </c>
      <c r="E1143" t="s">
        <v>348</v>
      </c>
      <c r="F1143" t="s">
        <v>5</v>
      </c>
      <c r="G1143" t="s">
        <v>4</v>
      </c>
      <c r="H1143" s="4">
        <v>14</v>
      </c>
      <c r="I1143" t="str">
        <f t="shared" si="17"/>
        <v>Bagre bagreCatfish</v>
      </c>
    </row>
    <row r="1144" spans="1:9" x14ac:dyDescent="0.35">
      <c r="A1144">
        <v>23</v>
      </c>
      <c r="B1144">
        <v>2017</v>
      </c>
      <c r="C1144">
        <v>2</v>
      </c>
      <c r="D1144" t="s">
        <v>175</v>
      </c>
      <c r="E1144" t="s">
        <v>348</v>
      </c>
      <c r="F1144" t="s">
        <v>5</v>
      </c>
      <c r="G1144" t="s">
        <v>4</v>
      </c>
      <c r="H1144" s="4">
        <v>17</v>
      </c>
      <c r="I1144" t="str">
        <f t="shared" si="17"/>
        <v>Bagre bagreCatfish</v>
      </c>
    </row>
    <row r="1145" spans="1:9" x14ac:dyDescent="0.35">
      <c r="A1145">
        <v>23</v>
      </c>
      <c r="B1145">
        <v>2017</v>
      </c>
      <c r="C1145">
        <v>2</v>
      </c>
      <c r="D1145" t="s">
        <v>175</v>
      </c>
      <c r="E1145" t="s">
        <v>348</v>
      </c>
      <c r="F1145" t="s">
        <v>5</v>
      </c>
      <c r="G1145" t="s">
        <v>4</v>
      </c>
      <c r="H1145" s="4">
        <v>9</v>
      </c>
      <c r="I1145" t="str">
        <f t="shared" si="17"/>
        <v>Bagre bagreCatfish</v>
      </c>
    </row>
    <row r="1146" spans="1:9" x14ac:dyDescent="0.35">
      <c r="A1146">
        <v>23</v>
      </c>
      <c r="B1146">
        <v>2017</v>
      </c>
      <c r="C1146">
        <v>2</v>
      </c>
      <c r="D1146" t="s">
        <v>175</v>
      </c>
      <c r="E1146" t="s">
        <v>348</v>
      </c>
      <c r="F1146" t="s">
        <v>5</v>
      </c>
      <c r="G1146" t="s">
        <v>4</v>
      </c>
      <c r="H1146" s="4">
        <v>7</v>
      </c>
      <c r="I1146" t="str">
        <f t="shared" si="17"/>
        <v>Bagre bagreCatfish</v>
      </c>
    </row>
    <row r="1147" spans="1:9" x14ac:dyDescent="0.35">
      <c r="A1147">
        <v>23</v>
      </c>
      <c r="B1147">
        <v>2017</v>
      </c>
      <c r="C1147">
        <v>2</v>
      </c>
      <c r="D1147" t="s">
        <v>175</v>
      </c>
      <c r="E1147" t="s">
        <v>348</v>
      </c>
      <c r="F1147" t="s">
        <v>5</v>
      </c>
      <c r="G1147" t="s">
        <v>4</v>
      </c>
      <c r="H1147" s="4">
        <v>7</v>
      </c>
      <c r="I1147" t="str">
        <f t="shared" si="17"/>
        <v>Bagre bagreCatfish</v>
      </c>
    </row>
    <row r="1148" spans="1:9" x14ac:dyDescent="0.35">
      <c r="A1148">
        <v>23</v>
      </c>
      <c r="B1148">
        <v>2017</v>
      </c>
      <c r="C1148">
        <v>2</v>
      </c>
      <c r="D1148" t="s">
        <v>175</v>
      </c>
      <c r="E1148" t="s">
        <v>348</v>
      </c>
      <c r="F1148" t="s">
        <v>5</v>
      </c>
      <c r="G1148" t="s">
        <v>4</v>
      </c>
      <c r="H1148" s="4">
        <v>7</v>
      </c>
      <c r="I1148" t="str">
        <f t="shared" si="17"/>
        <v>Bagre bagreCatfish</v>
      </c>
    </row>
    <row r="1149" spans="1:9" x14ac:dyDescent="0.35">
      <c r="A1149">
        <v>23</v>
      </c>
      <c r="B1149">
        <v>2017</v>
      </c>
      <c r="C1149">
        <v>2</v>
      </c>
      <c r="D1149" t="s">
        <v>175</v>
      </c>
      <c r="E1149" t="s">
        <v>348</v>
      </c>
      <c r="F1149" t="s">
        <v>5</v>
      </c>
      <c r="G1149" t="s">
        <v>4</v>
      </c>
      <c r="H1149" s="4">
        <v>9</v>
      </c>
      <c r="I1149" t="str">
        <f t="shared" si="17"/>
        <v>Bagre bagreCatfish</v>
      </c>
    </row>
    <row r="1150" spans="1:9" x14ac:dyDescent="0.35">
      <c r="A1150">
        <v>23</v>
      </c>
      <c r="B1150">
        <v>2017</v>
      </c>
      <c r="C1150">
        <v>2</v>
      </c>
      <c r="D1150" t="s">
        <v>175</v>
      </c>
      <c r="E1150" t="s">
        <v>348</v>
      </c>
      <c r="F1150" t="s">
        <v>5</v>
      </c>
      <c r="G1150" t="s">
        <v>4</v>
      </c>
      <c r="H1150" s="4">
        <v>12</v>
      </c>
      <c r="I1150" t="str">
        <f t="shared" si="17"/>
        <v>Bagre bagreCatfish</v>
      </c>
    </row>
    <row r="1151" spans="1:9" x14ac:dyDescent="0.35">
      <c r="A1151">
        <v>23</v>
      </c>
      <c r="B1151">
        <v>2017</v>
      </c>
      <c r="C1151">
        <v>2</v>
      </c>
      <c r="D1151" t="s">
        <v>175</v>
      </c>
      <c r="E1151" t="s">
        <v>348</v>
      </c>
      <c r="F1151" t="s">
        <v>5</v>
      </c>
      <c r="G1151" t="s">
        <v>4</v>
      </c>
      <c r="H1151" s="4">
        <v>10</v>
      </c>
      <c r="I1151" t="str">
        <f t="shared" si="17"/>
        <v>Bagre bagreCatfish</v>
      </c>
    </row>
    <row r="1152" spans="1:9" x14ac:dyDescent="0.35">
      <c r="A1152">
        <v>23</v>
      </c>
      <c r="B1152">
        <v>2017</v>
      </c>
      <c r="C1152">
        <v>2</v>
      </c>
      <c r="D1152" t="s">
        <v>175</v>
      </c>
      <c r="E1152" t="s">
        <v>348</v>
      </c>
      <c r="F1152" t="s">
        <v>5</v>
      </c>
      <c r="G1152" t="s">
        <v>4</v>
      </c>
      <c r="H1152" s="4">
        <v>8</v>
      </c>
      <c r="I1152" t="str">
        <f t="shared" si="17"/>
        <v>Bagre bagreCatfish</v>
      </c>
    </row>
    <row r="1153" spans="1:9" x14ac:dyDescent="0.35">
      <c r="A1153">
        <v>23</v>
      </c>
      <c r="B1153">
        <v>2017</v>
      </c>
      <c r="C1153">
        <v>2</v>
      </c>
      <c r="D1153" t="s">
        <v>175</v>
      </c>
      <c r="E1153" t="s">
        <v>348</v>
      </c>
      <c r="F1153" t="s">
        <v>5</v>
      </c>
      <c r="G1153" t="s">
        <v>4</v>
      </c>
      <c r="H1153" s="4">
        <v>9</v>
      </c>
      <c r="I1153" t="str">
        <f t="shared" si="17"/>
        <v>Bagre bagreCatfish</v>
      </c>
    </row>
    <row r="1154" spans="1:9" x14ac:dyDescent="0.35">
      <c r="A1154">
        <v>23</v>
      </c>
      <c r="B1154">
        <v>2017</v>
      </c>
      <c r="C1154">
        <v>2</v>
      </c>
      <c r="D1154" t="s">
        <v>175</v>
      </c>
      <c r="E1154" t="s">
        <v>348</v>
      </c>
      <c r="F1154" t="s">
        <v>5</v>
      </c>
      <c r="G1154" t="s">
        <v>4</v>
      </c>
      <c r="H1154" s="4">
        <v>9</v>
      </c>
      <c r="I1154" t="str">
        <f t="shared" ref="I1154:I1217" si="18">CONCATENATE(F1154,G1154)</f>
        <v>Bagre bagreCatfish</v>
      </c>
    </row>
    <row r="1155" spans="1:9" x14ac:dyDescent="0.35">
      <c r="A1155">
        <v>23</v>
      </c>
      <c r="B1155">
        <v>2017</v>
      </c>
      <c r="C1155">
        <v>2</v>
      </c>
      <c r="D1155" t="s">
        <v>175</v>
      </c>
      <c r="E1155" t="s">
        <v>348</v>
      </c>
      <c r="F1155" t="s">
        <v>5</v>
      </c>
      <c r="G1155" t="s">
        <v>4</v>
      </c>
      <c r="H1155" s="4">
        <v>7</v>
      </c>
      <c r="I1155" t="str">
        <f t="shared" si="18"/>
        <v>Bagre bagreCatfish</v>
      </c>
    </row>
    <row r="1156" spans="1:9" x14ac:dyDescent="0.35">
      <c r="A1156">
        <v>23</v>
      </c>
      <c r="B1156">
        <v>2017</v>
      </c>
      <c r="C1156">
        <v>2</v>
      </c>
      <c r="D1156" t="s">
        <v>175</v>
      </c>
      <c r="E1156" t="s">
        <v>348</v>
      </c>
      <c r="F1156" t="s">
        <v>5</v>
      </c>
      <c r="G1156" t="s">
        <v>4</v>
      </c>
      <c r="H1156" s="4">
        <v>11</v>
      </c>
      <c r="I1156" t="str">
        <f t="shared" si="18"/>
        <v>Bagre bagreCatfish</v>
      </c>
    </row>
    <row r="1157" spans="1:9" x14ac:dyDescent="0.35">
      <c r="A1157">
        <v>23</v>
      </c>
      <c r="B1157">
        <v>2017</v>
      </c>
      <c r="C1157">
        <v>2</v>
      </c>
      <c r="D1157" t="s">
        <v>175</v>
      </c>
      <c r="E1157" t="s">
        <v>348</v>
      </c>
      <c r="F1157" t="s">
        <v>5</v>
      </c>
      <c r="G1157" t="s">
        <v>4</v>
      </c>
      <c r="H1157" s="4">
        <v>12</v>
      </c>
      <c r="I1157" t="str">
        <f t="shared" si="18"/>
        <v>Bagre bagreCatfish</v>
      </c>
    </row>
    <row r="1158" spans="1:9" x14ac:dyDescent="0.35">
      <c r="A1158">
        <v>23</v>
      </c>
      <c r="B1158">
        <v>2017</v>
      </c>
      <c r="C1158">
        <v>2</v>
      </c>
      <c r="D1158" t="s">
        <v>175</v>
      </c>
      <c r="E1158" t="s">
        <v>348</v>
      </c>
      <c r="F1158" t="s">
        <v>5</v>
      </c>
      <c r="G1158" t="s">
        <v>4</v>
      </c>
      <c r="H1158" s="4">
        <v>14</v>
      </c>
      <c r="I1158" t="str">
        <f t="shared" si="18"/>
        <v>Bagre bagreCatfish</v>
      </c>
    </row>
    <row r="1159" spans="1:9" x14ac:dyDescent="0.35">
      <c r="A1159">
        <v>23</v>
      </c>
      <c r="B1159">
        <v>2017</v>
      </c>
      <c r="C1159">
        <v>2</v>
      </c>
      <c r="D1159" t="s">
        <v>175</v>
      </c>
      <c r="E1159" t="s">
        <v>348</v>
      </c>
      <c r="F1159" t="s">
        <v>5</v>
      </c>
      <c r="G1159" t="s">
        <v>4</v>
      </c>
      <c r="H1159" s="4">
        <v>8</v>
      </c>
      <c r="I1159" t="str">
        <f t="shared" si="18"/>
        <v>Bagre bagreCatfish</v>
      </c>
    </row>
    <row r="1160" spans="1:9" x14ac:dyDescent="0.35">
      <c r="A1160">
        <v>23</v>
      </c>
      <c r="B1160">
        <v>2017</v>
      </c>
      <c r="C1160">
        <v>2</v>
      </c>
      <c r="D1160" t="s">
        <v>175</v>
      </c>
      <c r="E1160" t="s">
        <v>348</v>
      </c>
      <c r="F1160" t="s">
        <v>5</v>
      </c>
      <c r="G1160" t="s">
        <v>4</v>
      </c>
      <c r="H1160" s="4">
        <v>5</v>
      </c>
      <c r="I1160" t="str">
        <f t="shared" si="18"/>
        <v>Bagre bagreCatfish</v>
      </c>
    </row>
    <row r="1161" spans="1:9" x14ac:dyDescent="0.35">
      <c r="A1161">
        <v>23</v>
      </c>
      <c r="B1161">
        <v>2017</v>
      </c>
      <c r="C1161">
        <v>2</v>
      </c>
      <c r="D1161" t="s">
        <v>175</v>
      </c>
      <c r="E1161" t="s">
        <v>348</v>
      </c>
      <c r="F1161" t="s">
        <v>5</v>
      </c>
      <c r="G1161" t="s">
        <v>4</v>
      </c>
      <c r="H1161" s="4">
        <v>11</v>
      </c>
      <c r="I1161" t="str">
        <f t="shared" si="18"/>
        <v>Bagre bagreCatfish</v>
      </c>
    </row>
    <row r="1162" spans="1:9" x14ac:dyDescent="0.35">
      <c r="A1162">
        <v>23</v>
      </c>
      <c r="B1162">
        <v>2017</v>
      </c>
      <c r="C1162">
        <v>2</v>
      </c>
      <c r="D1162" t="s">
        <v>175</v>
      </c>
      <c r="E1162" t="s">
        <v>348</v>
      </c>
      <c r="F1162" t="s">
        <v>5</v>
      </c>
      <c r="G1162" t="s">
        <v>4</v>
      </c>
      <c r="H1162" s="4">
        <v>10</v>
      </c>
      <c r="I1162" t="str">
        <f t="shared" si="18"/>
        <v>Bagre bagreCatfish</v>
      </c>
    </row>
    <row r="1163" spans="1:9" x14ac:dyDescent="0.35">
      <c r="A1163">
        <v>23</v>
      </c>
      <c r="B1163">
        <v>2017</v>
      </c>
      <c r="C1163">
        <v>2</v>
      </c>
      <c r="D1163" t="s">
        <v>175</v>
      </c>
      <c r="E1163" t="s">
        <v>348</v>
      </c>
      <c r="F1163" t="s">
        <v>5</v>
      </c>
      <c r="G1163" t="s">
        <v>4</v>
      </c>
      <c r="H1163" s="4">
        <v>12</v>
      </c>
      <c r="I1163" t="str">
        <f t="shared" si="18"/>
        <v>Bagre bagreCatfish</v>
      </c>
    </row>
    <row r="1164" spans="1:9" x14ac:dyDescent="0.35">
      <c r="A1164">
        <v>23</v>
      </c>
      <c r="B1164">
        <v>2017</v>
      </c>
      <c r="C1164">
        <v>2</v>
      </c>
      <c r="D1164" t="s">
        <v>175</v>
      </c>
      <c r="E1164" t="s">
        <v>348</v>
      </c>
      <c r="F1164" t="s">
        <v>5</v>
      </c>
      <c r="G1164" t="s">
        <v>4</v>
      </c>
      <c r="H1164" s="4">
        <v>10</v>
      </c>
      <c r="I1164" t="str">
        <f t="shared" si="18"/>
        <v>Bagre bagreCatfish</v>
      </c>
    </row>
    <row r="1165" spans="1:9" x14ac:dyDescent="0.35">
      <c r="A1165">
        <v>23</v>
      </c>
      <c r="B1165">
        <v>2017</v>
      </c>
      <c r="C1165">
        <v>2</v>
      </c>
      <c r="D1165" t="s">
        <v>175</v>
      </c>
      <c r="E1165" t="s">
        <v>348</v>
      </c>
      <c r="F1165" t="s">
        <v>5</v>
      </c>
      <c r="G1165" t="s">
        <v>4</v>
      </c>
      <c r="H1165" s="4">
        <v>11</v>
      </c>
      <c r="I1165" t="str">
        <f t="shared" si="18"/>
        <v>Bagre bagreCatfish</v>
      </c>
    </row>
    <row r="1166" spans="1:9" x14ac:dyDescent="0.35">
      <c r="A1166">
        <v>23</v>
      </c>
      <c r="B1166">
        <v>2017</v>
      </c>
      <c r="C1166">
        <v>2</v>
      </c>
      <c r="D1166" t="s">
        <v>175</v>
      </c>
      <c r="E1166" t="s">
        <v>348</v>
      </c>
      <c r="F1166" t="s">
        <v>5</v>
      </c>
      <c r="G1166" t="s">
        <v>4</v>
      </c>
      <c r="H1166" s="4">
        <v>11</v>
      </c>
      <c r="I1166" t="str">
        <f t="shared" si="18"/>
        <v>Bagre bagreCatfish</v>
      </c>
    </row>
    <row r="1167" spans="1:9" x14ac:dyDescent="0.35">
      <c r="A1167">
        <v>23</v>
      </c>
      <c r="B1167">
        <v>2017</v>
      </c>
      <c r="C1167">
        <v>2</v>
      </c>
      <c r="D1167" t="s">
        <v>175</v>
      </c>
      <c r="E1167" t="s">
        <v>348</v>
      </c>
      <c r="F1167" t="s">
        <v>5</v>
      </c>
      <c r="G1167" t="s">
        <v>4</v>
      </c>
      <c r="H1167" s="4">
        <v>8</v>
      </c>
      <c r="I1167" t="str">
        <f t="shared" si="18"/>
        <v>Bagre bagreCatfish</v>
      </c>
    </row>
    <row r="1168" spans="1:9" x14ac:dyDescent="0.35">
      <c r="A1168">
        <v>23</v>
      </c>
      <c r="B1168">
        <v>2017</v>
      </c>
      <c r="C1168">
        <v>2</v>
      </c>
      <c r="D1168" t="s">
        <v>175</v>
      </c>
      <c r="E1168" t="s">
        <v>348</v>
      </c>
      <c r="F1168" t="s">
        <v>5</v>
      </c>
      <c r="G1168" t="s">
        <v>4</v>
      </c>
      <c r="H1168" s="4">
        <v>5</v>
      </c>
      <c r="I1168" t="str">
        <f t="shared" si="18"/>
        <v>Bagre bagreCatfish</v>
      </c>
    </row>
    <row r="1169" spans="1:9" x14ac:dyDescent="0.35">
      <c r="A1169">
        <v>23</v>
      </c>
      <c r="B1169">
        <v>2017</v>
      </c>
      <c r="C1169">
        <v>2</v>
      </c>
      <c r="D1169" t="s">
        <v>175</v>
      </c>
      <c r="E1169" t="s">
        <v>348</v>
      </c>
      <c r="F1169" t="s">
        <v>5</v>
      </c>
      <c r="G1169" t="s">
        <v>4</v>
      </c>
      <c r="H1169" s="4">
        <v>7</v>
      </c>
      <c r="I1169" t="str">
        <f t="shared" si="18"/>
        <v>Bagre bagreCatfish</v>
      </c>
    </row>
    <row r="1170" spans="1:9" x14ac:dyDescent="0.35">
      <c r="A1170">
        <v>23</v>
      </c>
      <c r="B1170">
        <v>2017</v>
      </c>
      <c r="C1170">
        <v>2</v>
      </c>
      <c r="D1170" t="s">
        <v>175</v>
      </c>
      <c r="E1170" t="s">
        <v>348</v>
      </c>
      <c r="F1170" t="s">
        <v>5</v>
      </c>
      <c r="G1170" t="s">
        <v>4</v>
      </c>
      <c r="H1170" s="4">
        <v>7</v>
      </c>
      <c r="I1170" t="str">
        <f t="shared" si="18"/>
        <v>Bagre bagreCatfish</v>
      </c>
    </row>
    <row r="1171" spans="1:9" x14ac:dyDescent="0.35">
      <c r="A1171">
        <v>23</v>
      </c>
      <c r="B1171">
        <v>2017</v>
      </c>
      <c r="C1171">
        <v>2</v>
      </c>
      <c r="D1171" t="s">
        <v>175</v>
      </c>
      <c r="E1171" t="s">
        <v>348</v>
      </c>
      <c r="F1171" t="s">
        <v>40</v>
      </c>
      <c r="G1171" t="s">
        <v>35</v>
      </c>
      <c r="H1171" s="4">
        <v>23</v>
      </c>
      <c r="I1171" t="str">
        <f t="shared" si="18"/>
        <v>Macrodon ancylodonBangamary</v>
      </c>
    </row>
    <row r="1172" spans="1:9" x14ac:dyDescent="0.35">
      <c r="A1172">
        <v>23</v>
      </c>
      <c r="B1172">
        <v>2017</v>
      </c>
      <c r="C1172">
        <v>2</v>
      </c>
      <c r="D1172" t="s">
        <v>175</v>
      </c>
      <c r="E1172" t="s">
        <v>348</v>
      </c>
      <c r="F1172" t="s">
        <v>40</v>
      </c>
      <c r="G1172" t="s">
        <v>35</v>
      </c>
      <c r="H1172" s="4">
        <v>24</v>
      </c>
      <c r="I1172" t="str">
        <f t="shared" si="18"/>
        <v>Macrodon ancylodonBangamary</v>
      </c>
    </row>
    <row r="1173" spans="1:9" x14ac:dyDescent="0.35">
      <c r="A1173">
        <v>23</v>
      </c>
      <c r="B1173">
        <v>2017</v>
      </c>
      <c r="C1173">
        <v>2</v>
      </c>
      <c r="D1173" t="s">
        <v>175</v>
      </c>
      <c r="E1173" t="s">
        <v>348</v>
      </c>
      <c r="F1173" t="s">
        <v>40</v>
      </c>
      <c r="G1173" t="s">
        <v>35</v>
      </c>
      <c r="H1173" s="4">
        <v>16</v>
      </c>
      <c r="I1173" t="str">
        <f t="shared" si="18"/>
        <v>Macrodon ancylodonBangamary</v>
      </c>
    </row>
    <row r="1174" spans="1:9" x14ac:dyDescent="0.35">
      <c r="A1174">
        <v>23</v>
      </c>
      <c r="B1174">
        <v>2017</v>
      </c>
      <c r="C1174">
        <v>2</v>
      </c>
      <c r="D1174" t="s">
        <v>175</v>
      </c>
      <c r="E1174" t="s">
        <v>348</v>
      </c>
      <c r="F1174" t="s">
        <v>40</v>
      </c>
      <c r="G1174" t="s">
        <v>35</v>
      </c>
      <c r="H1174" s="4">
        <v>21</v>
      </c>
      <c r="I1174" t="str">
        <f t="shared" si="18"/>
        <v>Macrodon ancylodonBangamary</v>
      </c>
    </row>
    <row r="1175" spans="1:9" x14ac:dyDescent="0.35">
      <c r="A1175">
        <v>23</v>
      </c>
      <c r="B1175">
        <v>2017</v>
      </c>
      <c r="C1175">
        <v>2</v>
      </c>
      <c r="D1175" t="s">
        <v>175</v>
      </c>
      <c r="E1175" t="s">
        <v>348</v>
      </c>
      <c r="F1175" t="s">
        <v>40</v>
      </c>
      <c r="G1175" t="s">
        <v>35</v>
      </c>
      <c r="H1175" s="4">
        <v>14</v>
      </c>
      <c r="I1175" t="str">
        <f t="shared" si="18"/>
        <v>Macrodon ancylodonBangamary</v>
      </c>
    </row>
    <row r="1176" spans="1:9" x14ac:dyDescent="0.35">
      <c r="A1176">
        <v>23</v>
      </c>
      <c r="B1176">
        <v>2017</v>
      </c>
      <c r="C1176">
        <v>2</v>
      </c>
      <c r="D1176" t="s">
        <v>175</v>
      </c>
      <c r="E1176" t="s">
        <v>348</v>
      </c>
      <c r="F1176" t="s">
        <v>40</v>
      </c>
      <c r="G1176" t="s">
        <v>35</v>
      </c>
      <c r="H1176" s="4">
        <v>17</v>
      </c>
      <c r="I1176" t="str">
        <f t="shared" si="18"/>
        <v>Macrodon ancylodonBangamary</v>
      </c>
    </row>
    <row r="1177" spans="1:9" x14ac:dyDescent="0.35">
      <c r="A1177">
        <v>23</v>
      </c>
      <c r="B1177">
        <v>2017</v>
      </c>
      <c r="C1177">
        <v>2</v>
      </c>
      <c r="D1177" t="s">
        <v>175</v>
      </c>
      <c r="E1177" t="s">
        <v>348</v>
      </c>
      <c r="F1177" t="s">
        <v>40</v>
      </c>
      <c r="G1177" t="s">
        <v>35</v>
      </c>
      <c r="H1177" s="4">
        <v>22</v>
      </c>
      <c r="I1177" t="str">
        <f t="shared" si="18"/>
        <v>Macrodon ancylodonBangamary</v>
      </c>
    </row>
    <row r="1178" spans="1:9" x14ac:dyDescent="0.35">
      <c r="A1178">
        <v>23</v>
      </c>
      <c r="B1178">
        <v>2017</v>
      </c>
      <c r="C1178">
        <v>2</v>
      </c>
      <c r="D1178" t="s">
        <v>175</v>
      </c>
      <c r="E1178" t="s">
        <v>348</v>
      </c>
      <c r="F1178" t="s">
        <v>40</v>
      </c>
      <c r="G1178" t="s">
        <v>35</v>
      </c>
      <c r="H1178" s="4">
        <v>19</v>
      </c>
      <c r="I1178" t="str">
        <f t="shared" si="18"/>
        <v>Macrodon ancylodonBangamary</v>
      </c>
    </row>
    <row r="1179" spans="1:9" x14ac:dyDescent="0.35">
      <c r="A1179">
        <v>23</v>
      </c>
      <c r="B1179">
        <v>2017</v>
      </c>
      <c r="C1179">
        <v>2</v>
      </c>
      <c r="D1179" t="s">
        <v>175</v>
      </c>
      <c r="E1179" t="s">
        <v>348</v>
      </c>
      <c r="F1179" t="s">
        <v>40</v>
      </c>
      <c r="G1179" t="s">
        <v>35</v>
      </c>
      <c r="H1179" s="4">
        <v>22</v>
      </c>
      <c r="I1179" t="str">
        <f t="shared" si="18"/>
        <v>Macrodon ancylodonBangamary</v>
      </c>
    </row>
    <row r="1180" spans="1:9" x14ac:dyDescent="0.35">
      <c r="A1180">
        <v>23</v>
      </c>
      <c r="B1180">
        <v>2017</v>
      </c>
      <c r="C1180">
        <v>2</v>
      </c>
      <c r="D1180" t="s">
        <v>175</v>
      </c>
      <c r="E1180" t="s">
        <v>348</v>
      </c>
      <c r="F1180" t="s">
        <v>40</v>
      </c>
      <c r="G1180" t="s">
        <v>35</v>
      </c>
      <c r="H1180" s="4">
        <v>16</v>
      </c>
      <c r="I1180" t="str">
        <f t="shared" si="18"/>
        <v>Macrodon ancylodonBangamary</v>
      </c>
    </row>
    <row r="1181" spans="1:9" x14ac:dyDescent="0.35">
      <c r="A1181">
        <v>23</v>
      </c>
      <c r="B1181">
        <v>2017</v>
      </c>
      <c r="C1181">
        <v>2</v>
      </c>
      <c r="D1181" t="s">
        <v>175</v>
      </c>
      <c r="E1181" t="s">
        <v>348</v>
      </c>
      <c r="F1181" t="s">
        <v>40</v>
      </c>
      <c r="G1181" t="s">
        <v>35</v>
      </c>
      <c r="H1181" s="4">
        <v>16</v>
      </c>
      <c r="I1181" t="str">
        <f t="shared" si="18"/>
        <v>Macrodon ancylodonBangamary</v>
      </c>
    </row>
    <row r="1182" spans="1:9" x14ac:dyDescent="0.35">
      <c r="A1182">
        <v>23</v>
      </c>
      <c r="B1182">
        <v>2017</v>
      </c>
      <c r="C1182">
        <v>2</v>
      </c>
      <c r="D1182" t="s">
        <v>175</v>
      </c>
      <c r="E1182" t="s">
        <v>348</v>
      </c>
      <c r="F1182" t="s">
        <v>40</v>
      </c>
      <c r="G1182" t="s">
        <v>35</v>
      </c>
      <c r="H1182" s="4">
        <v>17</v>
      </c>
      <c r="I1182" t="str">
        <f t="shared" si="18"/>
        <v>Macrodon ancylodonBangamary</v>
      </c>
    </row>
    <row r="1183" spans="1:9" x14ac:dyDescent="0.35">
      <c r="A1183">
        <v>23</v>
      </c>
      <c r="B1183">
        <v>2017</v>
      </c>
      <c r="C1183">
        <v>2</v>
      </c>
      <c r="D1183" t="s">
        <v>175</v>
      </c>
      <c r="E1183" t="s">
        <v>348</v>
      </c>
      <c r="F1183" t="s">
        <v>40</v>
      </c>
      <c r="G1183" t="s">
        <v>35</v>
      </c>
      <c r="H1183" s="4">
        <v>17</v>
      </c>
      <c r="I1183" t="str">
        <f t="shared" si="18"/>
        <v>Macrodon ancylodonBangamary</v>
      </c>
    </row>
    <row r="1184" spans="1:9" x14ac:dyDescent="0.35">
      <c r="A1184">
        <v>23</v>
      </c>
      <c r="B1184">
        <v>2017</v>
      </c>
      <c r="C1184">
        <v>2</v>
      </c>
      <c r="D1184" t="s">
        <v>175</v>
      </c>
      <c r="E1184" t="s">
        <v>348</v>
      </c>
      <c r="F1184" t="s">
        <v>40</v>
      </c>
      <c r="G1184" t="s">
        <v>35</v>
      </c>
      <c r="H1184" s="4">
        <v>15</v>
      </c>
      <c r="I1184" t="str">
        <f t="shared" si="18"/>
        <v>Macrodon ancylodonBangamary</v>
      </c>
    </row>
    <row r="1185" spans="1:9" x14ac:dyDescent="0.35">
      <c r="A1185">
        <v>23</v>
      </c>
      <c r="B1185">
        <v>2017</v>
      </c>
      <c r="C1185">
        <v>2</v>
      </c>
      <c r="D1185" t="s">
        <v>175</v>
      </c>
      <c r="E1185" t="s">
        <v>348</v>
      </c>
      <c r="F1185" t="s">
        <v>40</v>
      </c>
      <c r="G1185" t="s">
        <v>35</v>
      </c>
      <c r="H1185" s="4">
        <v>18</v>
      </c>
      <c r="I1185" t="str">
        <f t="shared" si="18"/>
        <v>Macrodon ancylodonBangamary</v>
      </c>
    </row>
    <row r="1186" spans="1:9" x14ac:dyDescent="0.35">
      <c r="A1186">
        <v>23</v>
      </c>
      <c r="B1186">
        <v>2017</v>
      </c>
      <c r="C1186">
        <v>2</v>
      </c>
      <c r="D1186" t="s">
        <v>175</v>
      </c>
      <c r="E1186" t="s">
        <v>348</v>
      </c>
      <c r="F1186" t="s">
        <v>40</v>
      </c>
      <c r="G1186" t="s">
        <v>35</v>
      </c>
      <c r="H1186" s="4">
        <v>14</v>
      </c>
      <c r="I1186" t="str">
        <f t="shared" si="18"/>
        <v>Macrodon ancylodonBangamary</v>
      </c>
    </row>
    <row r="1187" spans="1:9" x14ac:dyDescent="0.35">
      <c r="A1187">
        <v>23</v>
      </c>
      <c r="B1187">
        <v>2017</v>
      </c>
      <c r="C1187">
        <v>2</v>
      </c>
      <c r="D1187" t="s">
        <v>175</v>
      </c>
      <c r="E1187" t="s">
        <v>348</v>
      </c>
      <c r="F1187" t="s">
        <v>40</v>
      </c>
      <c r="G1187" t="s">
        <v>35</v>
      </c>
      <c r="H1187" s="4">
        <v>15</v>
      </c>
      <c r="I1187" t="str">
        <f t="shared" si="18"/>
        <v>Macrodon ancylodonBangamary</v>
      </c>
    </row>
    <row r="1188" spans="1:9" x14ac:dyDescent="0.35">
      <c r="A1188">
        <v>23</v>
      </c>
      <c r="B1188">
        <v>2017</v>
      </c>
      <c r="C1188">
        <v>2</v>
      </c>
      <c r="D1188" t="s">
        <v>175</v>
      </c>
      <c r="E1188" t="s">
        <v>348</v>
      </c>
      <c r="F1188" t="s">
        <v>40</v>
      </c>
      <c r="G1188" t="s">
        <v>35</v>
      </c>
      <c r="H1188" s="4">
        <v>18</v>
      </c>
      <c r="I1188" t="str">
        <f t="shared" si="18"/>
        <v>Macrodon ancylodonBangamary</v>
      </c>
    </row>
    <row r="1189" spans="1:9" x14ac:dyDescent="0.35">
      <c r="A1189">
        <v>23</v>
      </c>
      <c r="B1189">
        <v>2017</v>
      </c>
      <c r="C1189">
        <v>2</v>
      </c>
      <c r="D1189" t="s">
        <v>175</v>
      </c>
      <c r="E1189" t="s">
        <v>348</v>
      </c>
      <c r="F1189" t="s">
        <v>40</v>
      </c>
      <c r="G1189" t="s">
        <v>35</v>
      </c>
      <c r="H1189" s="4">
        <v>16</v>
      </c>
      <c r="I1189" t="str">
        <f t="shared" si="18"/>
        <v>Macrodon ancylodonBangamary</v>
      </c>
    </row>
    <row r="1190" spans="1:9" x14ac:dyDescent="0.35">
      <c r="A1190">
        <v>23</v>
      </c>
      <c r="B1190">
        <v>2017</v>
      </c>
      <c r="C1190">
        <v>2</v>
      </c>
      <c r="D1190" t="s">
        <v>175</v>
      </c>
      <c r="E1190" t="s">
        <v>348</v>
      </c>
      <c r="F1190" t="s">
        <v>40</v>
      </c>
      <c r="G1190" t="s">
        <v>35</v>
      </c>
      <c r="H1190" s="4">
        <v>15</v>
      </c>
      <c r="I1190" t="str">
        <f t="shared" si="18"/>
        <v>Macrodon ancylodonBangamary</v>
      </c>
    </row>
    <row r="1191" spans="1:9" x14ac:dyDescent="0.35">
      <c r="A1191">
        <v>23</v>
      </c>
      <c r="B1191">
        <v>2017</v>
      </c>
      <c r="C1191">
        <v>2</v>
      </c>
      <c r="D1191" t="s">
        <v>175</v>
      </c>
      <c r="E1191" t="s">
        <v>348</v>
      </c>
      <c r="F1191" t="s">
        <v>40</v>
      </c>
      <c r="G1191" t="s">
        <v>35</v>
      </c>
      <c r="H1191" s="4">
        <v>16</v>
      </c>
      <c r="I1191" t="str">
        <f t="shared" si="18"/>
        <v>Macrodon ancylodonBangamary</v>
      </c>
    </row>
    <row r="1192" spans="1:9" x14ac:dyDescent="0.35">
      <c r="A1192">
        <v>23</v>
      </c>
      <c r="B1192">
        <v>2017</v>
      </c>
      <c r="C1192">
        <v>2</v>
      </c>
      <c r="D1192" t="s">
        <v>175</v>
      </c>
      <c r="E1192" t="s">
        <v>348</v>
      </c>
      <c r="F1192" t="s">
        <v>40</v>
      </c>
      <c r="G1192" t="s">
        <v>35</v>
      </c>
      <c r="H1192" s="4">
        <v>16</v>
      </c>
      <c r="I1192" t="str">
        <f t="shared" si="18"/>
        <v>Macrodon ancylodonBangamary</v>
      </c>
    </row>
    <row r="1193" spans="1:9" x14ac:dyDescent="0.35">
      <c r="A1193">
        <v>23</v>
      </c>
      <c r="B1193">
        <v>2017</v>
      </c>
      <c r="C1193">
        <v>2</v>
      </c>
      <c r="D1193" t="s">
        <v>175</v>
      </c>
      <c r="E1193" t="s">
        <v>348</v>
      </c>
      <c r="F1193" t="s">
        <v>40</v>
      </c>
      <c r="G1193" t="s">
        <v>35</v>
      </c>
      <c r="H1193" s="4">
        <v>17</v>
      </c>
      <c r="I1193" t="str">
        <f t="shared" si="18"/>
        <v>Macrodon ancylodonBangamary</v>
      </c>
    </row>
    <row r="1194" spans="1:9" x14ac:dyDescent="0.35">
      <c r="A1194">
        <v>23</v>
      </c>
      <c r="B1194">
        <v>2017</v>
      </c>
      <c r="C1194">
        <v>2</v>
      </c>
      <c r="D1194" t="s">
        <v>175</v>
      </c>
      <c r="E1194" t="s">
        <v>348</v>
      </c>
      <c r="F1194" t="s">
        <v>40</v>
      </c>
      <c r="G1194" t="s">
        <v>35</v>
      </c>
      <c r="H1194" s="4">
        <v>25</v>
      </c>
      <c r="I1194" t="str">
        <f t="shared" si="18"/>
        <v>Macrodon ancylodonBangamary</v>
      </c>
    </row>
    <row r="1195" spans="1:9" x14ac:dyDescent="0.35">
      <c r="A1195">
        <v>23</v>
      </c>
      <c r="B1195">
        <v>2017</v>
      </c>
      <c r="C1195">
        <v>2</v>
      </c>
      <c r="D1195" t="s">
        <v>175</v>
      </c>
      <c r="E1195" t="s">
        <v>348</v>
      </c>
      <c r="F1195" t="s">
        <v>40</v>
      </c>
      <c r="G1195" t="s">
        <v>35</v>
      </c>
      <c r="H1195" s="4">
        <v>22</v>
      </c>
      <c r="I1195" t="str">
        <f t="shared" si="18"/>
        <v>Macrodon ancylodonBangamary</v>
      </c>
    </row>
    <row r="1196" spans="1:9" x14ac:dyDescent="0.35">
      <c r="A1196">
        <v>23</v>
      </c>
      <c r="B1196">
        <v>2017</v>
      </c>
      <c r="C1196">
        <v>2</v>
      </c>
      <c r="D1196" t="s">
        <v>175</v>
      </c>
      <c r="E1196" t="s">
        <v>348</v>
      </c>
      <c r="F1196" t="s">
        <v>40</v>
      </c>
      <c r="G1196" t="s">
        <v>35</v>
      </c>
      <c r="H1196" s="4">
        <v>15</v>
      </c>
      <c r="I1196" t="str">
        <f t="shared" si="18"/>
        <v>Macrodon ancylodonBangamary</v>
      </c>
    </row>
    <row r="1197" spans="1:9" x14ac:dyDescent="0.35">
      <c r="A1197">
        <v>23</v>
      </c>
      <c r="B1197">
        <v>2017</v>
      </c>
      <c r="C1197">
        <v>2</v>
      </c>
      <c r="D1197" t="s">
        <v>175</v>
      </c>
      <c r="E1197" t="s">
        <v>348</v>
      </c>
      <c r="F1197" t="s">
        <v>40</v>
      </c>
      <c r="G1197" t="s">
        <v>35</v>
      </c>
      <c r="H1197" s="4">
        <v>16</v>
      </c>
      <c r="I1197" t="str">
        <f t="shared" si="18"/>
        <v>Macrodon ancylodonBangamary</v>
      </c>
    </row>
    <row r="1198" spans="1:9" x14ac:dyDescent="0.35">
      <c r="A1198">
        <v>23</v>
      </c>
      <c r="B1198">
        <v>2017</v>
      </c>
      <c r="C1198">
        <v>2</v>
      </c>
      <c r="D1198" t="s">
        <v>175</v>
      </c>
      <c r="E1198" t="s">
        <v>348</v>
      </c>
      <c r="F1198" t="s">
        <v>40</v>
      </c>
      <c r="G1198" t="s">
        <v>35</v>
      </c>
      <c r="H1198" s="4">
        <v>15</v>
      </c>
      <c r="I1198" t="str">
        <f t="shared" si="18"/>
        <v>Macrodon ancylodonBangamary</v>
      </c>
    </row>
    <row r="1199" spans="1:9" x14ac:dyDescent="0.35">
      <c r="A1199">
        <v>23</v>
      </c>
      <c r="B1199">
        <v>2017</v>
      </c>
      <c r="C1199">
        <v>2</v>
      </c>
      <c r="D1199" t="s">
        <v>175</v>
      </c>
      <c r="E1199" t="s">
        <v>348</v>
      </c>
      <c r="F1199" t="s">
        <v>40</v>
      </c>
      <c r="G1199" t="s">
        <v>35</v>
      </c>
      <c r="H1199" s="4">
        <v>13</v>
      </c>
      <c r="I1199" t="str">
        <f t="shared" si="18"/>
        <v>Macrodon ancylodonBangamary</v>
      </c>
    </row>
    <row r="1200" spans="1:9" x14ac:dyDescent="0.35">
      <c r="A1200">
        <v>23</v>
      </c>
      <c r="B1200">
        <v>2017</v>
      </c>
      <c r="C1200">
        <v>2</v>
      </c>
      <c r="D1200" t="s">
        <v>175</v>
      </c>
      <c r="E1200" t="s">
        <v>348</v>
      </c>
      <c r="F1200" t="s">
        <v>40</v>
      </c>
      <c r="G1200" t="s">
        <v>35</v>
      </c>
      <c r="H1200" s="4">
        <v>17</v>
      </c>
      <c r="I1200" t="str">
        <f t="shared" si="18"/>
        <v>Macrodon ancylodonBangamary</v>
      </c>
    </row>
    <row r="1201" spans="1:9" x14ac:dyDescent="0.35">
      <c r="A1201">
        <v>23</v>
      </c>
      <c r="B1201">
        <v>2017</v>
      </c>
      <c r="C1201">
        <v>2</v>
      </c>
      <c r="D1201" t="s">
        <v>175</v>
      </c>
      <c r="E1201" t="s">
        <v>348</v>
      </c>
      <c r="F1201" t="s">
        <v>283</v>
      </c>
      <c r="G1201" t="s">
        <v>284</v>
      </c>
      <c r="H1201" s="4">
        <v>21</v>
      </c>
      <c r="I1201" t="str">
        <f t="shared" si="18"/>
        <v>Paralonchurus braziliensisBanded croaker</v>
      </c>
    </row>
    <row r="1202" spans="1:9" x14ac:dyDescent="0.35">
      <c r="A1202">
        <v>23</v>
      </c>
      <c r="B1202">
        <v>2017</v>
      </c>
      <c r="C1202">
        <v>2</v>
      </c>
      <c r="D1202" t="s">
        <v>175</v>
      </c>
      <c r="E1202" t="s">
        <v>348</v>
      </c>
      <c r="F1202" t="s">
        <v>283</v>
      </c>
      <c r="G1202" t="s">
        <v>284</v>
      </c>
      <c r="H1202" s="4">
        <v>16</v>
      </c>
      <c r="I1202" t="str">
        <f t="shared" si="18"/>
        <v>Paralonchurus braziliensisBanded croaker</v>
      </c>
    </row>
    <row r="1203" spans="1:9" x14ac:dyDescent="0.35">
      <c r="A1203">
        <v>23</v>
      </c>
      <c r="B1203">
        <v>2017</v>
      </c>
      <c r="C1203">
        <v>2</v>
      </c>
      <c r="D1203" t="s">
        <v>175</v>
      </c>
      <c r="E1203" t="s">
        <v>348</v>
      </c>
      <c r="F1203" t="s">
        <v>283</v>
      </c>
      <c r="G1203" t="s">
        <v>284</v>
      </c>
      <c r="H1203" s="4">
        <v>24</v>
      </c>
      <c r="I1203" t="str">
        <f t="shared" si="18"/>
        <v>Paralonchurus braziliensisBanded croaker</v>
      </c>
    </row>
    <row r="1204" spans="1:9" x14ac:dyDescent="0.35">
      <c r="A1204">
        <v>23</v>
      </c>
      <c r="B1204">
        <v>2017</v>
      </c>
      <c r="C1204">
        <v>2</v>
      </c>
      <c r="D1204" t="s">
        <v>175</v>
      </c>
      <c r="E1204" t="s">
        <v>348</v>
      </c>
      <c r="F1204" t="s">
        <v>283</v>
      </c>
      <c r="G1204" t="s">
        <v>284</v>
      </c>
      <c r="H1204" s="4">
        <v>15</v>
      </c>
      <c r="I1204" t="str">
        <f t="shared" si="18"/>
        <v>Paralonchurus braziliensisBanded croaker</v>
      </c>
    </row>
    <row r="1205" spans="1:9" x14ac:dyDescent="0.35">
      <c r="A1205">
        <v>23</v>
      </c>
      <c r="B1205">
        <v>2017</v>
      </c>
      <c r="C1205">
        <v>2</v>
      </c>
      <c r="D1205" t="s">
        <v>175</v>
      </c>
      <c r="E1205" t="s">
        <v>348</v>
      </c>
      <c r="F1205" t="s">
        <v>283</v>
      </c>
      <c r="G1205" t="s">
        <v>284</v>
      </c>
      <c r="H1205" s="4">
        <v>10</v>
      </c>
      <c r="I1205" t="str">
        <f t="shared" si="18"/>
        <v>Paralonchurus braziliensisBanded croaker</v>
      </c>
    </row>
    <row r="1206" spans="1:9" x14ac:dyDescent="0.35">
      <c r="A1206">
        <v>23</v>
      </c>
      <c r="B1206">
        <v>2017</v>
      </c>
      <c r="C1206">
        <v>2</v>
      </c>
      <c r="D1206" t="s">
        <v>175</v>
      </c>
      <c r="E1206" t="s">
        <v>348</v>
      </c>
      <c r="F1206" t="s">
        <v>283</v>
      </c>
      <c r="G1206" t="s">
        <v>284</v>
      </c>
      <c r="H1206" s="4">
        <v>16</v>
      </c>
      <c r="I1206" t="str">
        <f t="shared" si="18"/>
        <v>Paralonchurus braziliensisBanded croaker</v>
      </c>
    </row>
    <row r="1207" spans="1:9" x14ac:dyDescent="0.35">
      <c r="A1207">
        <v>23</v>
      </c>
      <c r="B1207">
        <v>2017</v>
      </c>
      <c r="C1207">
        <v>2</v>
      </c>
      <c r="D1207" t="s">
        <v>175</v>
      </c>
      <c r="E1207" t="s">
        <v>348</v>
      </c>
      <c r="F1207" t="s">
        <v>283</v>
      </c>
      <c r="G1207" t="s">
        <v>284</v>
      </c>
      <c r="H1207" s="4">
        <v>17</v>
      </c>
      <c r="I1207" t="str">
        <f t="shared" si="18"/>
        <v>Paralonchurus braziliensisBanded croaker</v>
      </c>
    </row>
    <row r="1208" spans="1:9" x14ac:dyDescent="0.35">
      <c r="A1208">
        <v>23</v>
      </c>
      <c r="B1208">
        <v>2017</v>
      </c>
      <c r="C1208">
        <v>2</v>
      </c>
      <c r="D1208" t="s">
        <v>175</v>
      </c>
      <c r="E1208" t="s">
        <v>348</v>
      </c>
      <c r="F1208" t="s">
        <v>283</v>
      </c>
      <c r="G1208" t="s">
        <v>284</v>
      </c>
      <c r="H1208" s="4">
        <v>14</v>
      </c>
      <c r="I1208" t="str">
        <f t="shared" si="18"/>
        <v>Paralonchurus braziliensisBanded croaker</v>
      </c>
    </row>
    <row r="1209" spans="1:9" x14ac:dyDescent="0.35">
      <c r="A1209">
        <v>23</v>
      </c>
      <c r="B1209">
        <v>2017</v>
      </c>
      <c r="C1209">
        <v>2</v>
      </c>
      <c r="D1209" t="s">
        <v>175</v>
      </c>
      <c r="E1209" t="s">
        <v>348</v>
      </c>
      <c r="F1209" t="s">
        <v>283</v>
      </c>
      <c r="G1209" t="s">
        <v>284</v>
      </c>
      <c r="H1209" s="4">
        <v>14</v>
      </c>
      <c r="I1209" t="str">
        <f t="shared" si="18"/>
        <v>Paralonchurus braziliensisBanded croaker</v>
      </c>
    </row>
    <row r="1210" spans="1:9" x14ac:dyDescent="0.35">
      <c r="A1210">
        <v>23</v>
      </c>
      <c r="B1210">
        <v>2017</v>
      </c>
      <c r="C1210">
        <v>2</v>
      </c>
      <c r="D1210" t="s">
        <v>175</v>
      </c>
      <c r="E1210" t="s">
        <v>348</v>
      </c>
      <c r="F1210" t="s">
        <v>283</v>
      </c>
      <c r="G1210" t="s">
        <v>284</v>
      </c>
      <c r="H1210" s="4">
        <v>11</v>
      </c>
      <c r="I1210" t="str">
        <f t="shared" si="18"/>
        <v>Paralonchurus braziliensisBanded croaker</v>
      </c>
    </row>
    <row r="1211" spans="1:9" x14ac:dyDescent="0.35">
      <c r="A1211">
        <v>23</v>
      </c>
      <c r="B1211">
        <v>2017</v>
      </c>
      <c r="C1211">
        <v>2</v>
      </c>
      <c r="D1211" t="s">
        <v>175</v>
      </c>
      <c r="E1211" t="s">
        <v>348</v>
      </c>
      <c r="F1211" t="s">
        <v>283</v>
      </c>
      <c r="G1211" t="s">
        <v>284</v>
      </c>
      <c r="H1211" s="4">
        <v>11</v>
      </c>
      <c r="I1211" t="str">
        <f t="shared" si="18"/>
        <v>Paralonchurus braziliensisBanded croaker</v>
      </c>
    </row>
    <row r="1212" spans="1:9" x14ac:dyDescent="0.35">
      <c r="A1212">
        <v>23</v>
      </c>
      <c r="B1212">
        <v>2017</v>
      </c>
      <c r="C1212">
        <v>2</v>
      </c>
      <c r="D1212" t="s">
        <v>175</v>
      </c>
      <c r="E1212" t="s">
        <v>348</v>
      </c>
      <c r="F1212" t="s">
        <v>283</v>
      </c>
      <c r="G1212" t="s">
        <v>284</v>
      </c>
      <c r="H1212" s="4">
        <v>15</v>
      </c>
      <c r="I1212" t="str">
        <f t="shared" si="18"/>
        <v>Paralonchurus braziliensisBanded croaker</v>
      </c>
    </row>
    <row r="1213" spans="1:9" x14ac:dyDescent="0.35">
      <c r="A1213">
        <v>23</v>
      </c>
      <c r="B1213">
        <v>2017</v>
      </c>
      <c r="C1213">
        <v>2</v>
      </c>
      <c r="D1213" t="s">
        <v>175</v>
      </c>
      <c r="E1213" t="s">
        <v>348</v>
      </c>
      <c r="F1213" t="s">
        <v>283</v>
      </c>
      <c r="G1213" t="s">
        <v>284</v>
      </c>
      <c r="H1213" s="4">
        <v>18</v>
      </c>
      <c r="I1213" t="str">
        <f t="shared" si="18"/>
        <v>Paralonchurus braziliensisBanded croaker</v>
      </c>
    </row>
    <row r="1214" spans="1:9" x14ac:dyDescent="0.35">
      <c r="A1214">
        <v>23</v>
      </c>
      <c r="B1214">
        <v>2017</v>
      </c>
      <c r="C1214">
        <v>2</v>
      </c>
      <c r="D1214" t="s">
        <v>175</v>
      </c>
      <c r="E1214" t="s">
        <v>348</v>
      </c>
      <c r="F1214" t="s">
        <v>283</v>
      </c>
      <c r="G1214" t="s">
        <v>284</v>
      </c>
      <c r="H1214" s="4">
        <v>10</v>
      </c>
      <c r="I1214" t="str">
        <f t="shared" si="18"/>
        <v>Paralonchurus braziliensisBanded croaker</v>
      </c>
    </row>
    <row r="1215" spans="1:9" x14ac:dyDescent="0.35">
      <c r="A1215">
        <v>23</v>
      </c>
      <c r="B1215">
        <v>2017</v>
      </c>
      <c r="C1215">
        <v>2</v>
      </c>
      <c r="D1215" t="s">
        <v>175</v>
      </c>
      <c r="E1215" t="s">
        <v>348</v>
      </c>
      <c r="F1215" t="s">
        <v>283</v>
      </c>
      <c r="G1215" t="s">
        <v>284</v>
      </c>
      <c r="H1215" s="4">
        <v>12</v>
      </c>
      <c r="I1215" t="str">
        <f t="shared" si="18"/>
        <v>Paralonchurus braziliensisBanded croaker</v>
      </c>
    </row>
    <row r="1216" spans="1:9" x14ac:dyDescent="0.35">
      <c r="A1216">
        <v>23</v>
      </c>
      <c r="B1216">
        <v>2017</v>
      </c>
      <c r="C1216">
        <v>2</v>
      </c>
      <c r="D1216" t="s">
        <v>175</v>
      </c>
      <c r="E1216" t="s">
        <v>348</v>
      </c>
      <c r="F1216" t="s">
        <v>283</v>
      </c>
      <c r="G1216" t="s">
        <v>284</v>
      </c>
      <c r="H1216" s="4">
        <v>10</v>
      </c>
      <c r="I1216" t="str">
        <f t="shared" si="18"/>
        <v>Paralonchurus braziliensisBanded croaker</v>
      </c>
    </row>
    <row r="1217" spans="1:9" x14ac:dyDescent="0.35">
      <c r="A1217">
        <v>23</v>
      </c>
      <c r="B1217">
        <v>2017</v>
      </c>
      <c r="C1217">
        <v>2</v>
      </c>
      <c r="D1217" t="s">
        <v>175</v>
      </c>
      <c r="E1217" t="s">
        <v>348</v>
      </c>
      <c r="F1217" t="s">
        <v>283</v>
      </c>
      <c r="G1217" t="s">
        <v>284</v>
      </c>
      <c r="H1217" s="4">
        <v>10</v>
      </c>
      <c r="I1217" t="str">
        <f t="shared" si="18"/>
        <v>Paralonchurus braziliensisBanded croaker</v>
      </c>
    </row>
    <row r="1218" spans="1:9" x14ac:dyDescent="0.35">
      <c r="A1218">
        <v>23</v>
      </c>
      <c r="B1218">
        <v>2017</v>
      </c>
      <c r="C1218">
        <v>2</v>
      </c>
      <c r="D1218" t="s">
        <v>175</v>
      </c>
      <c r="E1218" t="s">
        <v>348</v>
      </c>
      <c r="F1218" t="s">
        <v>283</v>
      </c>
      <c r="G1218" t="s">
        <v>284</v>
      </c>
      <c r="H1218" s="4">
        <v>12</v>
      </c>
      <c r="I1218" t="str">
        <f t="shared" ref="I1218:I1281" si="19">CONCATENATE(F1218,G1218)</f>
        <v>Paralonchurus braziliensisBanded croaker</v>
      </c>
    </row>
    <row r="1219" spans="1:9" x14ac:dyDescent="0.35">
      <c r="A1219">
        <v>23</v>
      </c>
      <c r="B1219">
        <v>2017</v>
      </c>
      <c r="C1219">
        <v>2</v>
      </c>
      <c r="D1219" t="s">
        <v>175</v>
      </c>
      <c r="E1219" t="s">
        <v>348</v>
      </c>
      <c r="F1219" t="s">
        <v>283</v>
      </c>
      <c r="G1219" t="s">
        <v>284</v>
      </c>
      <c r="H1219" s="4">
        <v>9</v>
      </c>
      <c r="I1219" t="str">
        <f t="shared" si="19"/>
        <v>Paralonchurus braziliensisBanded croaker</v>
      </c>
    </row>
    <row r="1220" spans="1:9" x14ac:dyDescent="0.35">
      <c r="A1220">
        <v>23</v>
      </c>
      <c r="B1220">
        <v>2017</v>
      </c>
      <c r="C1220">
        <v>2</v>
      </c>
      <c r="D1220" t="s">
        <v>175</v>
      </c>
      <c r="E1220" t="s">
        <v>348</v>
      </c>
      <c r="F1220" t="s">
        <v>283</v>
      </c>
      <c r="G1220" t="s">
        <v>284</v>
      </c>
      <c r="H1220" s="4">
        <v>11</v>
      </c>
      <c r="I1220" t="str">
        <f t="shared" si="19"/>
        <v>Paralonchurus braziliensisBanded croaker</v>
      </c>
    </row>
    <row r="1221" spans="1:9" x14ac:dyDescent="0.35">
      <c r="A1221">
        <v>23</v>
      </c>
      <c r="B1221">
        <v>2017</v>
      </c>
      <c r="C1221">
        <v>2</v>
      </c>
      <c r="D1221" t="s">
        <v>175</v>
      </c>
      <c r="E1221" t="s">
        <v>348</v>
      </c>
      <c r="F1221" t="s">
        <v>283</v>
      </c>
      <c r="G1221" t="s">
        <v>284</v>
      </c>
      <c r="H1221" s="4">
        <v>10</v>
      </c>
      <c r="I1221" t="str">
        <f t="shared" si="19"/>
        <v>Paralonchurus braziliensisBanded croaker</v>
      </c>
    </row>
    <row r="1222" spans="1:9" x14ac:dyDescent="0.35">
      <c r="A1222">
        <v>23</v>
      </c>
      <c r="B1222">
        <v>2017</v>
      </c>
      <c r="C1222">
        <v>2</v>
      </c>
      <c r="D1222" t="s">
        <v>175</v>
      </c>
      <c r="E1222" t="s">
        <v>348</v>
      </c>
      <c r="F1222" t="s">
        <v>283</v>
      </c>
      <c r="G1222" t="s">
        <v>284</v>
      </c>
      <c r="H1222" s="4">
        <v>11</v>
      </c>
      <c r="I1222" t="str">
        <f t="shared" si="19"/>
        <v>Paralonchurus braziliensisBanded croaker</v>
      </c>
    </row>
    <row r="1223" spans="1:9" x14ac:dyDescent="0.35">
      <c r="A1223">
        <v>23</v>
      </c>
      <c r="B1223">
        <v>2017</v>
      </c>
      <c r="C1223">
        <v>2</v>
      </c>
      <c r="D1223" t="s">
        <v>175</v>
      </c>
      <c r="E1223" t="s">
        <v>348</v>
      </c>
      <c r="F1223" t="s">
        <v>283</v>
      </c>
      <c r="G1223" t="s">
        <v>284</v>
      </c>
      <c r="H1223" s="4">
        <v>9</v>
      </c>
      <c r="I1223" t="str">
        <f t="shared" si="19"/>
        <v>Paralonchurus braziliensisBanded croaker</v>
      </c>
    </row>
    <row r="1224" spans="1:9" x14ac:dyDescent="0.35">
      <c r="A1224">
        <v>23</v>
      </c>
      <c r="B1224">
        <v>2017</v>
      </c>
      <c r="C1224">
        <v>2</v>
      </c>
      <c r="D1224" t="s">
        <v>175</v>
      </c>
      <c r="E1224" t="s">
        <v>348</v>
      </c>
      <c r="F1224" t="s">
        <v>283</v>
      </c>
      <c r="G1224" t="s">
        <v>284</v>
      </c>
      <c r="H1224" s="4">
        <v>9</v>
      </c>
      <c r="I1224" t="str">
        <f t="shared" si="19"/>
        <v>Paralonchurus braziliensisBanded croaker</v>
      </c>
    </row>
    <row r="1225" spans="1:9" x14ac:dyDescent="0.35">
      <c r="A1225">
        <v>23</v>
      </c>
      <c r="B1225">
        <v>2017</v>
      </c>
      <c r="C1225">
        <v>2</v>
      </c>
      <c r="D1225" t="s">
        <v>175</v>
      </c>
      <c r="E1225" t="s">
        <v>348</v>
      </c>
      <c r="F1225" t="s">
        <v>283</v>
      </c>
      <c r="G1225" t="s">
        <v>284</v>
      </c>
      <c r="H1225" s="4">
        <v>9</v>
      </c>
      <c r="I1225" t="str">
        <f t="shared" si="19"/>
        <v>Paralonchurus braziliensisBanded croaker</v>
      </c>
    </row>
    <row r="1226" spans="1:9" x14ac:dyDescent="0.35">
      <c r="A1226">
        <v>23</v>
      </c>
      <c r="B1226">
        <v>2017</v>
      </c>
      <c r="C1226">
        <v>2</v>
      </c>
      <c r="D1226" t="s">
        <v>175</v>
      </c>
      <c r="E1226" t="s">
        <v>348</v>
      </c>
      <c r="F1226" t="s">
        <v>283</v>
      </c>
      <c r="G1226" t="s">
        <v>284</v>
      </c>
      <c r="H1226" s="4">
        <v>10</v>
      </c>
      <c r="I1226" t="str">
        <f t="shared" si="19"/>
        <v>Paralonchurus braziliensisBanded croaker</v>
      </c>
    </row>
    <row r="1227" spans="1:9" x14ac:dyDescent="0.35">
      <c r="A1227">
        <v>23</v>
      </c>
      <c r="B1227">
        <v>2017</v>
      </c>
      <c r="C1227">
        <v>2</v>
      </c>
      <c r="D1227" t="s">
        <v>175</v>
      </c>
      <c r="E1227" t="s">
        <v>348</v>
      </c>
      <c r="F1227" t="s">
        <v>283</v>
      </c>
      <c r="G1227" t="s">
        <v>284</v>
      </c>
      <c r="H1227" s="4">
        <v>9</v>
      </c>
      <c r="I1227" t="str">
        <f t="shared" si="19"/>
        <v>Paralonchurus braziliensisBanded croaker</v>
      </c>
    </row>
    <row r="1228" spans="1:9" x14ac:dyDescent="0.35">
      <c r="A1228">
        <v>23</v>
      </c>
      <c r="B1228">
        <v>2017</v>
      </c>
      <c r="C1228">
        <v>2</v>
      </c>
      <c r="D1228" t="s">
        <v>175</v>
      </c>
      <c r="E1228" t="s">
        <v>348</v>
      </c>
      <c r="F1228" t="s">
        <v>283</v>
      </c>
      <c r="G1228" t="s">
        <v>284</v>
      </c>
      <c r="H1228" s="4">
        <v>14</v>
      </c>
      <c r="I1228" t="str">
        <f t="shared" si="19"/>
        <v>Paralonchurus braziliensisBanded croaker</v>
      </c>
    </row>
    <row r="1229" spans="1:9" x14ac:dyDescent="0.35">
      <c r="A1229">
        <v>23</v>
      </c>
      <c r="B1229">
        <v>2017</v>
      </c>
      <c r="C1229">
        <v>2</v>
      </c>
      <c r="D1229" t="s">
        <v>175</v>
      </c>
      <c r="E1229" t="s">
        <v>348</v>
      </c>
      <c r="F1229" t="s">
        <v>283</v>
      </c>
      <c r="G1229" t="s">
        <v>284</v>
      </c>
      <c r="H1229" s="4">
        <v>14</v>
      </c>
      <c r="I1229" t="str">
        <f t="shared" si="19"/>
        <v>Paralonchurus braziliensisBanded croaker</v>
      </c>
    </row>
    <row r="1230" spans="1:9" x14ac:dyDescent="0.35">
      <c r="A1230">
        <v>23</v>
      </c>
      <c r="B1230">
        <v>2017</v>
      </c>
      <c r="C1230">
        <v>2</v>
      </c>
      <c r="D1230" t="s">
        <v>175</v>
      </c>
      <c r="E1230" t="s">
        <v>348</v>
      </c>
      <c r="F1230" t="s">
        <v>283</v>
      </c>
      <c r="G1230" t="s">
        <v>284</v>
      </c>
      <c r="H1230" s="4">
        <v>16</v>
      </c>
      <c r="I1230" t="str">
        <f t="shared" si="19"/>
        <v>Paralonchurus braziliensisBanded croaker</v>
      </c>
    </row>
    <row r="1231" spans="1:9" x14ac:dyDescent="0.35">
      <c r="A1231">
        <v>23</v>
      </c>
      <c r="B1231">
        <v>2017</v>
      </c>
      <c r="C1231">
        <v>2</v>
      </c>
      <c r="D1231" t="s">
        <v>175</v>
      </c>
      <c r="E1231" t="s">
        <v>348</v>
      </c>
      <c r="F1231" t="s">
        <v>15</v>
      </c>
      <c r="G1231" t="s">
        <v>16</v>
      </c>
      <c r="H1231" s="4">
        <v>24</v>
      </c>
      <c r="I1231" t="str">
        <f t="shared" si="19"/>
        <v>Nebris micropsButterfish</v>
      </c>
    </row>
    <row r="1232" spans="1:9" x14ac:dyDescent="0.35">
      <c r="A1232">
        <v>23</v>
      </c>
      <c r="B1232">
        <v>2017</v>
      </c>
      <c r="C1232">
        <v>2</v>
      </c>
      <c r="D1232" t="s">
        <v>175</v>
      </c>
      <c r="E1232" t="s">
        <v>348</v>
      </c>
      <c r="F1232" t="s">
        <v>15</v>
      </c>
      <c r="G1232" t="s">
        <v>16</v>
      </c>
      <c r="H1232" s="4">
        <v>21</v>
      </c>
      <c r="I1232" t="str">
        <f t="shared" si="19"/>
        <v>Nebris micropsButterfish</v>
      </c>
    </row>
    <row r="1233" spans="1:9" x14ac:dyDescent="0.35">
      <c r="A1233">
        <v>23</v>
      </c>
      <c r="B1233">
        <v>2017</v>
      </c>
      <c r="C1233">
        <v>2</v>
      </c>
      <c r="D1233" t="s">
        <v>175</v>
      </c>
      <c r="E1233" t="s">
        <v>348</v>
      </c>
      <c r="F1233" t="s">
        <v>15</v>
      </c>
      <c r="G1233" t="s">
        <v>16</v>
      </c>
      <c r="H1233" s="4">
        <v>21</v>
      </c>
      <c r="I1233" t="str">
        <f t="shared" si="19"/>
        <v>Nebris micropsButterfish</v>
      </c>
    </row>
    <row r="1234" spans="1:9" x14ac:dyDescent="0.35">
      <c r="A1234">
        <v>23</v>
      </c>
      <c r="B1234">
        <v>2017</v>
      </c>
      <c r="C1234">
        <v>2</v>
      </c>
      <c r="D1234" t="s">
        <v>175</v>
      </c>
      <c r="E1234" t="s">
        <v>348</v>
      </c>
      <c r="F1234" t="s">
        <v>15</v>
      </c>
      <c r="G1234" t="s">
        <v>16</v>
      </c>
      <c r="H1234" s="4">
        <v>26</v>
      </c>
      <c r="I1234" t="str">
        <f t="shared" si="19"/>
        <v>Nebris micropsButterfish</v>
      </c>
    </row>
    <row r="1235" spans="1:9" x14ac:dyDescent="0.35">
      <c r="A1235">
        <v>23</v>
      </c>
      <c r="B1235">
        <v>2017</v>
      </c>
      <c r="C1235">
        <v>2</v>
      </c>
      <c r="D1235" t="s">
        <v>175</v>
      </c>
      <c r="E1235" t="s">
        <v>348</v>
      </c>
      <c r="F1235" t="s">
        <v>15</v>
      </c>
      <c r="G1235" t="s">
        <v>16</v>
      </c>
      <c r="H1235" s="4">
        <v>26</v>
      </c>
      <c r="I1235" t="str">
        <f t="shared" si="19"/>
        <v>Nebris micropsButterfish</v>
      </c>
    </row>
    <row r="1236" spans="1:9" x14ac:dyDescent="0.35">
      <c r="A1236">
        <v>23</v>
      </c>
      <c r="B1236">
        <v>2017</v>
      </c>
      <c r="C1236">
        <v>2</v>
      </c>
      <c r="D1236" t="s">
        <v>175</v>
      </c>
      <c r="E1236" t="s">
        <v>348</v>
      </c>
      <c r="F1236" t="s">
        <v>15</v>
      </c>
      <c r="G1236" t="s">
        <v>16</v>
      </c>
      <c r="H1236" s="4">
        <v>18</v>
      </c>
      <c r="I1236" t="str">
        <f t="shared" si="19"/>
        <v>Nebris micropsButterfish</v>
      </c>
    </row>
    <row r="1237" spans="1:9" x14ac:dyDescent="0.35">
      <c r="A1237">
        <v>23</v>
      </c>
      <c r="B1237">
        <v>2017</v>
      </c>
      <c r="C1237">
        <v>2</v>
      </c>
      <c r="D1237" t="s">
        <v>175</v>
      </c>
      <c r="E1237" t="s">
        <v>348</v>
      </c>
      <c r="F1237" t="s">
        <v>15</v>
      </c>
      <c r="G1237" t="s">
        <v>16</v>
      </c>
      <c r="H1237" s="4">
        <v>16</v>
      </c>
      <c r="I1237" t="str">
        <f t="shared" si="19"/>
        <v>Nebris micropsButterfish</v>
      </c>
    </row>
    <row r="1238" spans="1:9" x14ac:dyDescent="0.35">
      <c r="A1238">
        <v>23</v>
      </c>
      <c r="B1238">
        <v>2017</v>
      </c>
      <c r="C1238">
        <v>2</v>
      </c>
      <c r="D1238" t="s">
        <v>175</v>
      </c>
      <c r="E1238" t="s">
        <v>348</v>
      </c>
      <c r="F1238" t="s">
        <v>15</v>
      </c>
      <c r="G1238" t="s">
        <v>16</v>
      </c>
      <c r="H1238" s="4">
        <v>24</v>
      </c>
      <c r="I1238" t="str">
        <f t="shared" si="19"/>
        <v>Nebris micropsButterfish</v>
      </c>
    </row>
    <row r="1239" spans="1:9" x14ac:dyDescent="0.35">
      <c r="A1239">
        <v>23</v>
      </c>
      <c r="B1239">
        <v>2017</v>
      </c>
      <c r="C1239">
        <v>2</v>
      </c>
      <c r="D1239" t="s">
        <v>175</v>
      </c>
      <c r="E1239" t="s">
        <v>348</v>
      </c>
      <c r="F1239" t="s">
        <v>15</v>
      </c>
      <c r="G1239" t="s">
        <v>16</v>
      </c>
      <c r="H1239" s="4">
        <v>26</v>
      </c>
      <c r="I1239" t="str">
        <f t="shared" si="19"/>
        <v>Nebris micropsButterfish</v>
      </c>
    </row>
    <row r="1240" spans="1:9" x14ac:dyDescent="0.35">
      <c r="A1240">
        <v>23</v>
      </c>
      <c r="B1240">
        <v>2017</v>
      </c>
      <c r="C1240">
        <v>2</v>
      </c>
      <c r="D1240" t="s">
        <v>175</v>
      </c>
      <c r="E1240" t="s">
        <v>348</v>
      </c>
      <c r="F1240" t="s">
        <v>15</v>
      </c>
      <c r="G1240" t="s">
        <v>16</v>
      </c>
      <c r="H1240" s="4">
        <v>25</v>
      </c>
      <c r="I1240" t="str">
        <f t="shared" si="19"/>
        <v>Nebris micropsButterfish</v>
      </c>
    </row>
    <row r="1241" spans="1:9" x14ac:dyDescent="0.35">
      <c r="A1241">
        <v>23</v>
      </c>
      <c r="B1241">
        <v>2017</v>
      </c>
      <c r="C1241">
        <v>2</v>
      </c>
      <c r="D1241" t="s">
        <v>175</v>
      </c>
      <c r="E1241" t="s">
        <v>348</v>
      </c>
      <c r="F1241" t="s">
        <v>15</v>
      </c>
      <c r="G1241" t="s">
        <v>16</v>
      </c>
      <c r="H1241" s="4">
        <v>21</v>
      </c>
      <c r="I1241" t="str">
        <f t="shared" si="19"/>
        <v>Nebris micropsButterfish</v>
      </c>
    </row>
    <row r="1242" spans="1:9" x14ac:dyDescent="0.35">
      <c r="A1242">
        <v>23</v>
      </c>
      <c r="B1242">
        <v>2017</v>
      </c>
      <c r="C1242">
        <v>2</v>
      </c>
      <c r="D1242" t="s">
        <v>175</v>
      </c>
      <c r="E1242" t="s">
        <v>348</v>
      </c>
      <c r="F1242" t="s">
        <v>15</v>
      </c>
      <c r="G1242" t="s">
        <v>16</v>
      </c>
      <c r="H1242" s="4">
        <v>19</v>
      </c>
      <c r="I1242" t="str">
        <f t="shared" si="19"/>
        <v>Nebris micropsButterfish</v>
      </c>
    </row>
    <row r="1243" spans="1:9" x14ac:dyDescent="0.35">
      <c r="A1243">
        <v>23</v>
      </c>
      <c r="B1243">
        <v>2017</v>
      </c>
      <c r="C1243">
        <v>2</v>
      </c>
      <c r="D1243" t="s">
        <v>175</v>
      </c>
      <c r="E1243" t="s">
        <v>348</v>
      </c>
      <c r="F1243" t="s">
        <v>15</v>
      </c>
      <c r="G1243" t="s">
        <v>16</v>
      </c>
      <c r="H1243" s="4">
        <v>27</v>
      </c>
      <c r="I1243" t="str">
        <f t="shared" si="19"/>
        <v>Nebris micropsButterfish</v>
      </c>
    </row>
    <row r="1244" spans="1:9" x14ac:dyDescent="0.35">
      <c r="A1244">
        <v>23</v>
      </c>
      <c r="B1244">
        <v>2017</v>
      </c>
      <c r="C1244">
        <v>2</v>
      </c>
      <c r="D1244" t="s">
        <v>175</v>
      </c>
      <c r="E1244" t="s">
        <v>348</v>
      </c>
      <c r="F1244" t="s">
        <v>15</v>
      </c>
      <c r="G1244" t="s">
        <v>16</v>
      </c>
      <c r="H1244" s="4">
        <v>18</v>
      </c>
      <c r="I1244" t="str">
        <f t="shared" si="19"/>
        <v>Nebris micropsButterfish</v>
      </c>
    </row>
    <row r="1245" spans="1:9" x14ac:dyDescent="0.35">
      <c r="A1245">
        <v>23</v>
      </c>
      <c r="B1245">
        <v>2017</v>
      </c>
      <c r="C1245">
        <v>2</v>
      </c>
      <c r="D1245" t="s">
        <v>175</v>
      </c>
      <c r="E1245" t="s">
        <v>348</v>
      </c>
      <c r="F1245" t="s">
        <v>15</v>
      </c>
      <c r="G1245" t="s">
        <v>16</v>
      </c>
      <c r="H1245" s="4">
        <v>23</v>
      </c>
      <c r="I1245" t="str">
        <f t="shared" si="19"/>
        <v>Nebris micropsButterfish</v>
      </c>
    </row>
    <row r="1246" spans="1:9" x14ac:dyDescent="0.35">
      <c r="A1246">
        <v>23</v>
      </c>
      <c r="B1246">
        <v>2017</v>
      </c>
      <c r="C1246">
        <v>2</v>
      </c>
      <c r="D1246" t="s">
        <v>175</v>
      </c>
      <c r="E1246" t="s">
        <v>348</v>
      </c>
      <c r="F1246" t="s">
        <v>15</v>
      </c>
      <c r="G1246" t="s">
        <v>16</v>
      </c>
      <c r="H1246" s="4">
        <v>24</v>
      </c>
      <c r="I1246" t="str">
        <f t="shared" si="19"/>
        <v>Nebris micropsButterfish</v>
      </c>
    </row>
    <row r="1247" spans="1:9" x14ac:dyDescent="0.35">
      <c r="A1247">
        <v>23</v>
      </c>
      <c r="B1247">
        <v>2017</v>
      </c>
      <c r="C1247">
        <v>2</v>
      </c>
      <c r="D1247" t="s">
        <v>175</v>
      </c>
      <c r="E1247" t="s">
        <v>348</v>
      </c>
      <c r="F1247" t="s">
        <v>15</v>
      </c>
      <c r="G1247" t="s">
        <v>16</v>
      </c>
      <c r="H1247" s="4">
        <v>20</v>
      </c>
      <c r="I1247" t="str">
        <f t="shared" si="19"/>
        <v>Nebris micropsButterfish</v>
      </c>
    </row>
    <row r="1248" spans="1:9" x14ac:dyDescent="0.35">
      <c r="A1248">
        <v>23</v>
      </c>
      <c r="B1248">
        <v>2017</v>
      </c>
      <c r="C1248">
        <v>2</v>
      </c>
      <c r="D1248" t="s">
        <v>175</v>
      </c>
      <c r="E1248" t="s">
        <v>348</v>
      </c>
      <c r="F1248" t="s">
        <v>15</v>
      </c>
      <c r="G1248" t="s">
        <v>16</v>
      </c>
      <c r="H1248" s="4">
        <v>24</v>
      </c>
      <c r="I1248" t="str">
        <f t="shared" si="19"/>
        <v>Nebris micropsButterfish</v>
      </c>
    </row>
    <row r="1249" spans="1:9" x14ac:dyDescent="0.35">
      <c r="A1249">
        <v>23</v>
      </c>
      <c r="B1249">
        <v>2017</v>
      </c>
      <c r="C1249">
        <v>2</v>
      </c>
      <c r="D1249" t="s">
        <v>175</v>
      </c>
      <c r="E1249" t="s">
        <v>348</v>
      </c>
      <c r="F1249" t="s">
        <v>15</v>
      </c>
      <c r="G1249" t="s">
        <v>16</v>
      </c>
      <c r="H1249" s="4">
        <v>19</v>
      </c>
      <c r="I1249" t="str">
        <f t="shared" si="19"/>
        <v>Nebris micropsButterfish</v>
      </c>
    </row>
    <row r="1250" spans="1:9" x14ac:dyDescent="0.35">
      <c r="A1250">
        <v>23</v>
      </c>
      <c r="B1250">
        <v>2017</v>
      </c>
      <c r="C1250">
        <v>2</v>
      </c>
      <c r="D1250" t="s">
        <v>175</v>
      </c>
      <c r="E1250" t="s">
        <v>348</v>
      </c>
      <c r="F1250" t="s">
        <v>15</v>
      </c>
      <c r="G1250" t="s">
        <v>16</v>
      </c>
      <c r="H1250" s="4">
        <v>22</v>
      </c>
      <c r="I1250" t="str">
        <f t="shared" si="19"/>
        <v>Nebris micropsButterfish</v>
      </c>
    </row>
    <row r="1251" spans="1:9" x14ac:dyDescent="0.35">
      <c r="A1251">
        <v>23</v>
      </c>
      <c r="B1251">
        <v>2017</v>
      </c>
      <c r="C1251">
        <v>2</v>
      </c>
      <c r="D1251" t="s">
        <v>175</v>
      </c>
      <c r="E1251" t="s">
        <v>348</v>
      </c>
      <c r="F1251" t="s">
        <v>15</v>
      </c>
      <c r="G1251" t="s">
        <v>16</v>
      </c>
      <c r="H1251" s="4">
        <v>19</v>
      </c>
      <c r="I1251" t="str">
        <f t="shared" si="19"/>
        <v>Nebris micropsButterfish</v>
      </c>
    </row>
    <row r="1252" spans="1:9" x14ac:dyDescent="0.35">
      <c r="A1252">
        <v>23</v>
      </c>
      <c r="B1252">
        <v>2017</v>
      </c>
      <c r="C1252">
        <v>2</v>
      </c>
      <c r="D1252" t="s">
        <v>175</v>
      </c>
      <c r="E1252" t="s">
        <v>348</v>
      </c>
      <c r="F1252" t="s">
        <v>15</v>
      </c>
      <c r="G1252" t="s">
        <v>16</v>
      </c>
      <c r="H1252" s="4">
        <v>18</v>
      </c>
      <c r="I1252" t="str">
        <f t="shared" si="19"/>
        <v>Nebris micropsButterfish</v>
      </c>
    </row>
    <row r="1253" spans="1:9" x14ac:dyDescent="0.35">
      <c r="A1253">
        <v>23</v>
      </c>
      <c r="B1253">
        <v>2017</v>
      </c>
      <c r="C1253">
        <v>2</v>
      </c>
      <c r="D1253" t="s">
        <v>175</v>
      </c>
      <c r="E1253" t="s">
        <v>348</v>
      </c>
      <c r="F1253" t="s">
        <v>15</v>
      </c>
      <c r="G1253" t="s">
        <v>16</v>
      </c>
      <c r="H1253" s="4">
        <v>18</v>
      </c>
      <c r="I1253" t="str">
        <f t="shared" si="19"/>
        <v>Nebris micropsButterfish</v>
      </c>
    </row>
    <row r="1254" spans="1:9" x14ac:dyDescent="0.35">
      <c r="A1254">
        <v>23</v>
      </c>
      <c r="B1254">
        <v>2017</v>
      </c>
      <c r="C1254">
        <v>2</v>
      </c>
      <c r="D1254" t="s">
        <v>175</v>
      </c>
      <c r="E1254" t="s">
        <v>348</v>
      </c>
      <c r="F1254" t="s">
        <v>15</v>
      </c>
      <c r="G1254" t="s">
        <v>16</v>
      </c>
      <c r="H1254" s="4">
        <v>18</v>
      </c>
      <c r="I1254" t="str">
        <f t="shared" si="19"/>
        <v>Nebris micropsButterfish</v>
      </c>
    </row>
    <row r="1255" spans="1:9" x14ac:dyDescent="0.35">
      <c r="A1255">
        <v>23</v>
      </c>
      <c r="B1255">
        <v>2017</v>
      </c>
      <c r="C1255">
        <v>2</v>
      </c>
      <c r="D1255" t="s">
        <v>175</v>
      </c>
      <c r="E1255" t="s">
        <v>348</v>
      </c>
      <c r="F1255" t="s">
        <v>15</v>
      </c>
      <c r="G1255" t="s">
        <v>16</v>
      </c>
      <c r="H1255" s="4">
        <v>20</v>
      </c>
      <c r="I1255" t="str">
        <f t="shared" si="19"/>
        <v>Nebris micropsButterfish</v>
      </c>
    </row>
    <row r="1256" spans="1:9" x14ac:dyDescent="0.35">
      <c r="A1256">
        <v>23</v>
      </c>
      <c r="B1256">
        <v>2017</v>
      </c>
      <c r="C1256">
        <v>2</v>
      </c>
      <c r="D1256" t="s">
        <v>175</v>
      </c>
      <c r="E1256" t="s">
        <v>348</v>
      </c>
      <c r="F1256" t="s">
        <v>15</v>
      </c>
      <c r="G1256" t="s">
        <v>16</v>
      </c>
      <c r="H1256" s="4">
        <v>26</v>
      </c>
      <c r="I1256" t="str">
        <f t="shared" si="19"/>
        <v>Nebris micropsButterfish</v>
      </c>
    </row>
    <row r="1257" spans="1:9" x14ac:dyDescent="0.35">
      <c r="A1257">
        <v>23</v>
      </c>
      <c r="B1257">
        <v>2017</v>
      </c>
      <c r="C1257">
        <v>2</v>
      </c>
      <c r="D1257" t="s">
        <v>175</v>
      </c>
      <c r="E1257" t="s">
        <v>348</v>
      </c>
      <c r="F1257" t="s">
        <v>15</v>
      </c>
      <c r="G1257" t="s">
        <v>16</v>
      </c>
      <c r="H1257" s="4">
        <v>30</v>
      </c>
      <c r="I1257" t="str">
        <f t="shared" si="19"/>
        <v>Nebris micropsButterfish</v>
      </c>
    </row>
    <row r="1258" spans="1:9" x14ac:dyDescent="0.35">
      <c r="A1258">
        <v>23</v>
      </c>
      <c r="B1258">
        <v>2017</v>
      </c>
      <c r="C1258">
        <v>2</v>
      </c>
      <c r="D1258" t="s">
        <v>175</v>
      </c>
      <c r="E1258" t="s">
        <v>348</v>
      </c>
      <c r="F1258" t="s">
        <v>15</v>
      </c>
      <c r="G1258" t="s">
        <v>16</v>
      </c>
      <c r="H1258" s="4">
        <v>23</v>
      </c>
      <c r="I1258" t="str">
        <f t="shared" si="19"/>
        <v>Nebris micropsButterfish</v>
      </c>
    </row>
    <row r="1259" spans="1:9" x14ac:dyDescent="0.35">
      <c r="A1259">
        <v>23</v>
      </c>
      <c r="B1259">
        <v>2017</v>
      </c>
      <c r="C1259">
        <v>2</v>
      </c>
      <c r="D1259" t="s">
        <v>175</v>
      </c>
      <c r="E1259" t="s">
        <v>348</v>
      </c>
      <c r="F1259" t="s">
        <v>15</v>
      </c>
      <c r="G1259" t="s">
        <v>16</v>
      </c>
      <c r="H1259" s="4">
        <v>16</v>
      </c>
      <c r="I1259" t="str">
        <f t="shared" si="19"/>
        <v>Nebris micropsButterfish</v>
      </c>
    </row>
    <row r="1260" spans="1:9" x14ac:dyDescent="0.35">
      <c r="A1260">
        <v>23</v>
      </c>
      <c r="B1260">
        <v>2017</v>
      </c>
      <c r="C1260">
        <v>2</v>
      </c>
      <c r="D1260" t="s">
        <v>175</v>
      </c>
      <c r="E1260" t="s">
        <v>348</v>
      </c>
      <c r="F1260" t="s">
        <v>15</v>
      </c>
      <c r="G1260" t="s">
        <v>16</v>
      </c>
      <c r="H1260" s="4">
        <v>20</v>
      </c>
      <c r="I1260" t="str">
        <f t="shared" si="19"/>
        <v>Nebris micropsButterfish</v>
      </c>
    </row>
    <row r="1261" spans="1:9" x14ac:dyDescent="0.35">
      <c r="A1261">
        <v>23</v>
      </c>
      <c r="B1261">
        <v>2017</v>
      </c>
      <c r="C1261">
        <v>2</v>
      </c>
      <c r="D1261" t="s">
        <v>175</v>
      </c>
      <c r="E1261" t="s">
        <v>348</v>
      </c>
      <c r="F1261" t="s">
        <v>21</v>
      </c>
      <c r="G1261" t="s">
        <v>59</v>
      </c>
      <c r="H1261" s="4">
        <v>14</v>
      </c>
      <c r="I1261" t="str">
        <f t="shared" si="19"/>
        <v>Stellifer micropsRockhead</v>
      </c>
    </row>
    <row r="1262" spans="1:9" x14ac:dyDescent="0.35">
      <c r="A1262">
        <v>23</v>
      </c>
      <c r="B1262">
        <v>2017</v>
      </c>
      <c r="C1262">
        <v>2</v>
      </c>
      <c r="D1262" t="s">
        <v>175</v>
      </c>
      <c r="E1262" t="s">
        <v>348</v>
      </c>
      <c r="F1262" t="s">
        <v>21</v>
      </c>
      <c r="G1262" t="s">
        <v>59</v>
      </c>
      <c r="H1262" s="4">
        <v>12</v>
      </c>
      <c r="I1262" t="str">
        <f t="shared" si="19"/>
        <v>Stellifer micropsRockhead</v>
      </c>
    </row>
    <row r="1263" spans="1:9" x14ac:dyDescent="0.35">
      <c r="A1263">
        <v>23</v>
      </c>
      <c r="B1263">
        <v>2017</v>
      </c>
      <c r="C1263">
        <v>2</v>
      </c>
      <c r="D1263" t="s">
        <v>175</v>
      </c>
      <c r="E1263" t="s">
        <v>348</v>
      </c>
      <c r="F1263" t="s">
        <v>21</v>
      </c>
      <c r="G1263" t="s">
        <v>59</v>
      </c>
      <c r="H1263" s="4">
        <v>10</v>
      </c>
      <c r="I1263" t="str">
        <f t="shared" si="19"/>
        <v>Stellifer micropsRockhead</v>
      </c>
    </row>
    <row r="1264" spans="1:9" x14ac:dyDescent="0.35">
      <c r="A1264">
        <v>23</v>
      </c>
      <c r="B1264">
        <v>2017</v>
      </c>
      <c r="C1264">
        <v>2</v>
      </c>
      <c r="D1264" t="s">
        <v>175</v>
      </c>
      <c r="E1264" t="s">
        <v>348</v>
      </c>
      <c r="F1264" t="s">
        <v>21</v>
      </c>
      <c r="G1264" t="s">
        <v>59</v>
      </c>
      <c r="H1264" s="4">
        <v>15</v>
      </c>
      <c r="I1264" t="str">
        <f t="shared" si="19"/>
        <v>Stellifer micropsRockhead</v>
      </c>
    </row>
    <row r="1265" spans="1:9" x14ac:dyDescent="0.35">
      <c r="A1265">
        <v>23</v>
      </c>
      <c r="B1265">
        <v>2017</v>
      </c>
      <c r="C1265">
        <v>2</v>
      </c>
      <c r="D1265" t="s">
        <v>175</v>
      </c>
      <c r="E1265" t="s">
        <v>348</v>
      </c>
      <c r="F1265" t="s">
        <v>21</v>
      </c>
      <c r="G1265" t="s">
        <v>59</v>
      </c>
      <c r="H1265" s="4">
        <v>12</v>
      </c>
      <c r="I1265" t="str">
        <f t="shared" si="19"/>
        <v>Stellifer micropsRockhead</v>
      </c>
    </row>
    <row r="1266" spans="1:9" x14ac:dyDescent="0.35">
      <c r="A1266">
        <v>23</v>
      </c>
      <c r="B1266">
        <v>2017</v>
      </c>
      <c r="C1266">
        <v>2</v>
      </c>
      <c r="D1266" t="s">
        <v>175</v>
      </c>
      <c r="E1266" t="s">
        <v>348</v>
      </c>
      <c r="F1266" t="s">
        <v>21</v>
      </c>
      <c r="G1266" t="s">
        <v>59</v>
      </c>
      <c r="H1266" s="4">
        <v>15</v>
      </c>
      <c r="I1266" t="str">
        <f t="shared" si="19"/>
        <v>Stellifer micropsRockhead</v>
      </c>
    </row>
    <row r="1267" spans="1:9" x14ac:dyDescent="0.35">
      <c r="A1267">
        <v>23</v>
      </c>
      <c r="B1267">
        <v>2017</v>
      </c>
      <c r="C1267">
        <v>2</v>
      </c>
      <c r="D1267" t="s">
        <v>175</v>
      </c>
      <c r="E1267" t="s">
        <v>348</v>
      </c>
      <c r="F1267" t="s">
        <v>21</v>
      </c>
      <c r="G1267" t="s">
        <v>59</v>
      </c>
      <c r="H1267" s="4">
        <v>17</v>
      </c>
      <c r="I1267" t="str">
        <f t="shared" si="19"/>
        <v>Stellifer micropsRockhead</v>
      </c>
    </row>
    <row r="1268" spans="1:9" x14ac:dyDescent="0.35">
      <c r="A1268">
        <v>23</v>
      </c>
      <c r="B1268">
        <v>2017</v>
      </c>
      <c r="C1268">
        <v>2</v>
      </c>
      <c r="D1268" t="s">
        <v>175</v>
      </c>
      <c r="E1268" t="s">
        <v>348</v>
      </c>
      <c r="F1268" t="s">
        <v>21</v>
      </c>
      <c r="G1268" t="s">
        <v>59</v>
      </c>
      <c r="H1268" s="4">
        <v>12</v>
      </c>
      <c r="I1268" t="str">
        <f t="shared" si="19"/>
        <v>Stellifer micropsRockhead</v>
      </c>
    </row>
    <row r="1269" spans="1:9" x14ac:dyDescent="0.35">
      <c r="A1269">
        <v>23</v>
      </c>
      <c r="B1269">
        <v>2017</v>
      </c>
      <c r="C1269">
        <v>2</v>
      </c>
      <c r="D1269" t="s">
        <v>175</v>
      </c>
      <c r="E1269" t="s">
        <v>348</v>
      </c>
      <c r="F1269" t="s">
        <v>21</v>
      </c>
      <c r="G1269" t="s">
        <v>59</v>
      </c>
      <c r="H1269" s="4">
        <v>8</v>
      </c>
      <c r="I1269" t="str">
        <f t="shared" si="19"/>
        <v>Stellifer micropsRockhead</v>
      </c>
    </row>
    <row r="1270" spans="1:9" x14ac:dyDescent="0.35">
      <c r="A1270">
        <v>23</v>
      </c>
      <c r="B1270">
        <v>2017</v>
      </c>
      <c r="C1270">
        <v>2</v>
      </c>
      <c r="D1270" t="s">
        <v>175</v>
      </c>
      <c r="E1270" t="s">
        <v>348</v>
      </c>
      <c r="F1270" t="s">
        <v>21</v>
      </c>
      <c r="G1270" t="s">
        <v>59</v>
      </c>
      <c r="H1270" s="4">
        <v>10</v>
      </c>
      <c r="I1270" t="str">
        <f t="shared" si="19"/>
        <v>Stellifer micropsRockhead</v>
      </c>
    </row>
    <row r="1271" spans="1:9" x14ac:dyDescent="0.35">
      <c r="A1271">
        <v>23</v>
      </c>
      <c r="B1271">
        <v>2017</v>
      </c>
      <c r="C1271">
        <v>2</v>
      </c>
      <c r="D1271" t="s">
        <v>175</v>
      </c>
      <c r="E1271" t="s">
        <v>348</v>
      </c>
      <c r="F1271" t="s">
        <v>21</v>
      </c>
      <c r="G1271" t="s">
        <v>59</v>
      </c>
      <c r="H1271" s="4">
        <v>14</v>
      </c>
      <c r="I1271" t="str">
        <f t="shared" si="19"/>
        <v>Stellifer micropsRockhead</v>
      </c>
    </row>
    <row r="1272" spans="1:9" x14ac:dyDescent="0.35">
      <c r="A1272">
        <v>23</v>
      </c>
      <c r="B1272">
        <v>2017</v>
      </c>
      <c r="C1272">
        <v>2</v>
      </c>
      <c r="D1272" t="s">
        <v>175</v>
      </c>
      <c r="E1272" t="s">
        <v>348</v>
      </c>
      <c r="F1272" t="s">
        <v>21</v>
      </c>
      <c r="G1272" t="s">
        <v>59</v>
      </c>
      <c r="H1272" s="4">
        <v>12</v>
      </c>
      <c r="I1272" t="str">
        <f t="shared" si="19"/>
        <v>Stellifer micropsRockhead</v>
      </c>
    </row>
    <row r="1273" spans="1:9" x14ac:dyDescent="0.35">
      <c r="A1273">
        <v>23</v>
      </c>
      <c r="B1273">
        <v>2017</v>
      </c>
      <c r="C1273">
        <v>2</v>
      </c>
      <c r="D1273" t="s">
        <v>175</v>
      </c>
      <c r="E1273" t="s">
        <v>348</v>
      </c>
      <c r="F1273" t="s">
        <v>21</v>
      </c>
      <c r="G1273" t="s">
        <v>59</v>
      </c>
      <c r="H1273" s="4">
        <v>12</v>
      </c>
      <c r="I1273" t="str">
        <f t="shared" si="19"/>
        <v>Stellifer micropsRockhead</v>
      </c>
    </row>
    <row r="1274" spans="1:9" x14ac:dyDescent="0.35">
      <c r="A1274">
        <v>23</v>
      </c>
      <c r="B1274">
        <v>2017</v>
      </c>
      <c r="C1274">
        <v>2</v>
      </c>
      <c r="D1274" t="s">
        <v>175</v>
      </c>
      <c r="E1274" t="s">
        <v>348</v>
      </c>
      <c r="F1274" t="s">
        <v>21</v>
      </c>
      <c r="G1274" t="s">
        <v>59</v>
      </c>
      <c r="H1274" s="4">
        <v>11</v>
      </c>
      <c r="I1274" t="str">
        <f t="shared" si="19"/>
        <v>Stellifer micropsRockhead</v>
      </c>
    </row>
    <row r="1275" spans="1:9" x14ac:dyDescent="0.35">
      <c r="A1275">
        <v>23</v>
      </c>
      <c r="B1275">
        <v>2017</v>
      </c>
      <c r="C1275">
        <v>2</v>
      </c>
      <c r="D1275" t="s">
        <v>175</v>
      </c>
      <c r="E1275" t="s">
        <v>348</v>
      </c>
      <c r="F1275" t="s">
        <v>21</v>
      </c>
      <c r="G1275" t="s">
        <v>59</v>
      </c>
      <c r="H1275" s="4">
        <v>13</v>
      </c>
      <c r="I1275" t="str">
        <f t="shared" si="19"/>
        <v>Stellifer micropsRockhead</v>
      </c>
    </row>
    <row r="1276" spans="1:9" x14ac:dyDescent="0.35">
      <c r="A1276">
        <v>23</v>
      </c>
      <c r="B1276">
        <v>2017</v>
      </c>
      <c r="C1276">
        <v>2</v>
      </c>
      <c r="D1276" t="s">
        <v>175</v>
      </c>
      <c r="E1276" t="s">
        <v>348</v>
      </c>
      <c r="F1276" t="s">
        <v>21</v>
      </c>
      <c r="G1276" t="s">
        <v>59</v>
      </c>
      <c r="H1276" s="4">
        <v>11</v>
      </c>
      <c r="I1276" t="str">
        <f t="shared" si="19"/>
        <v>Stellifer micropsRockhead</v>
      </c>
    </row>
    <row r="1277" spans="1:9" x14ac:dyDescent="0.35">
      <c r="A1277">
        <v>23</v>
      </c>
      <c r="B1277">
        <v>2017</v>
      </c>
      <c r="C1277">
        <v>2</v>
      </c>
      <c r="D1277" t="s">
        <v>175</v>
      </c>
      <c r="E1277" t="s">
        <v>348</v>
      </c>
      <c r="F1277" t="s">
        <v>21</v>
      </c>
      <c r="G1277" t="s">
        <v>59</v>
      </c>
      <c r="H1277" s="4">
        <v>13</v>
      </c>
      <c r="I1277" t="str">
        <f t="shared" si="19"/>
        <v>Stellifer micropsRockhead</v>
      </c>
    </row>
    <row r="1278" spans="1:9" x14ac:dyDescent="0.35">
      <c r="A1278">
        <v>23</v>
      </c>
      <c r="B1278">
        <v>2017</v>
      </c>
      <c r="C1278">
        <v>2</v>
      </c>
      <c r="D1278" t="s">
        <v>175</v>
      </c>
      <c r="E1278" t="s">
        <v>348</v>
      </c>
      <c r="F1278" t="s">
        <v>21</v>
      </c>
      <c r="G1278" t="s">
        <v>59</v>
      </c>
      <c r="H1278" s="4">
        <v>12</v>
      </c>
      <c r="I1278" t="str">
        <f t="shared" si="19"/>
        <v>Stellifer micropsRockhead</v>
      </c>
    </row>
    <row r="1279" spans="1:9" x14ac:dyDescent="0.35">
      <c r="A1279">
        <v>23</v>
      </c>
      <c r="B1279">
        <v>2017</v>
      </c>
      <c r="C1279">
        <v>2</v>
      </c>
      <c r="D1279" t="s">
        <v>175</v>
      </c>
      <c r="E1279" t="s">
        <v>348</v>
      </c>
      <c r="F1279" t="s">
        <v>21</v>
      </c>
      <c r="G1279" t="s">
        <v>59</v>
      </c>
      <c r="H1279" s="4">
        <v>10</v>
      </c>
      <c r="I1279" t="str">
        <f t="shared" si="19"/>
        <v>Stellifer micropsRockhead</v>
      </c>
    </row>
    <row r="1280" spans="1:9" x14ac:dyDescent="0.35">
      <c r="A1280">
        <v>23</v>
      </c>
      <c r="B1280">
        <v>2017</v>
      </c>
      <c r="C1280">
        <v>2</v>
      </c>
      <c r="D1280" t="s">
        <v>175</v>
      </c>
      <c r="E1280" t="s">
        <v>348</v>
      </c>
      <c r="F1280" t="s">
        <v>21</v>
      </c>
      <c r="G1280" t="s">
        <v>59</v>
      </c>
      <c r="H1280" s="4">
        <v>11</v>
      </c>
      <c r="I1280" t="str">
        <f t="shared" si="19"/>
        <v>Stellifer micropsRockhead</v>
      </c>
    </row>
    <row r="1281" spans="1:9" x14ac:dyDescent="0.35">
      <c r="A1281">
        <v>23</v>
      </c>
      <c r="B1281">
        <v>2017</v>
      </c>
      <c r="C1281">
        <v>2</v>
      </c>
      <c r="D1281" t="s">
        <v>175</v>
      </c>
      <c r="E1281" t="s">
        <v>348</v>
      </c>
      <c r="F1281" t="s">
        <v>21</v>
      </c>
      <c r="G1281" t="s">
        <v>59</v>
      </c>
      <c r="H1281" s="4">
        <v>11</v>
      </c>
      <c r="I1281" t="str">
        <f t="shared" si="19"/>
        <v>Stellifer micropsRockhead</v>
      </c>
    </row>
    <row r="1282" spans="1:9" x14ac:dyDescent="0.35">
      <c r="A1282">
        <v>23</v>
      </c>
      <c r="B1282">
        <v>2017</v>
      </c>
      <c r="C1282">
        <v>2</v>
      </c>
      <c r="D1282" t="s">
        <v>175</v>
      </c>
      <c r="E1282" t="s">
        <v>348</v>
      </c>
      <c r="F1282" t="s">
        <v>21</v>
      </c>
      <c r="G1282" t="s">
        <v>59</v>
      </c>
      <c r="H1282" s="4">
        <v>13</v>
      </c>
      <c r="I1282" t="str">
        <f t="shared" ref="I1282:I1345" si="20">CONCATENATE(F1282,G1282)</f>
        <v>Stellifer micropsRockhead</v>
      </c>
    </row>
    <row r="1283" spans="1:9" x14ac:dyDescent="0.35">
      <c r="A1283">
        <v>23</v>
      </c>
      <c r="B1283">
        <v>2017</v>
      </c>
      <c r="C1283">
        <v>2</v>
      </c>
      <c r="D1283" t="s">
        <v>175</v>
      </c>
      <c r="E1283" t="s">
        <v>348</v>
      </c>
      <c r="F1283" t="s">
        <v>21</v>
      </c>
      <c r="G1283" t="s">
        <v>59</v>
      </c>
      <c r="H1283" s="4">
        <v>10</v>
      </c>
      <c r="I1283" t="str">
        <f t="shared" si="20"/>
        <v>Stellifer micropsRockhead</v>
      </c>
    </row>
    <row r="1284" spans="1:9" x14ac:dyDescent="0.35">
      <c r="A1284">
        <v>23</v>
      </c>
      <c r="B1284">
        <v>2017</v>
      </c>
      <c r="C1284">
        <v>2</v>
      </c>
      <c r="D1284" t="s">
        <v>175</v>
      </c>
      <c r="E1284" t="s">
        <v>348</v>
      </c>
      <c r="F1284" t="s">
        <v>21</v>
      </c>
      <c r="G1284" t="s">
        <v>59</v>
      </c>
      <c r="H1284" s="4">
        <v>10</v>
      </c>
      <c r="I1284" t="str">
        <f t="shared" si="20"/>
        <v>Stellifer micropsRockhead</v>
      </c>
    </row>
    <row r="1285" spans="1:9" x14ac:dyDescent="0.35">
      <c r="A1285">
        <v>23</v>
      </c>
      <c r="B1285">
        <v>2017</v>
      </c>
      <c r="C1285">
        <v>2</v>
      </c>
      <c r="D1285" t="s">
        <v>175</v>
      </c>
      <c r="E1285" t="s">
        <v>348</v>
      </c>
      <c r="F1285" t="s">
        <v>21</v>
      </c>
      <c r="G1285" t="s">
        <v>59</v>
      </c>
      <c r="H1285" s="4">
        <v>10</v>
      </c>
      <c r="I1285" t="str">
        <f t="shared" si="20"/>
        <v>Stellifer micropsRockhead</v>
      </c>
    </row>
    <row r="1286" spans="1:9" x14ac:dyDescent="0.35">
      <c r="A1286">
        <v>23</v>
      </c>
      <c r="B1286">
        <v>2017</v>
      </c>
      <c r="C1286">
        <v>2</v>
      </c>
      <c r="D1286" t="s">
        <v>175</v>
      </c>
      <c r="E1286" t="s">
        <v>348</v>
      </c>
      <c r="F1286" t="s">
        <v>21</v>
      </c>
      <c r="G1286" t="s">
        <v>59</v>
      </c>
      <c r="H1286" s="4">
        <v>14</v>
      </c>
      <c r="I1286" t="str">
        <f t="shared" si="20"/>
        <v>Stellifer micropsRockhead</v>
      </c>
    </row>
    <row r="1287" spans="1:9" x14ac:dyDescent="0.35">
      <c r="A1287">
        <v>23</v>
      </c>
      <c r="B1287">
        <v>2017</v>
      </c>
      <c r="C1287">
        <v>2</v>
      </c>
      <c r="D1287" t="s">
        <v>175</v>
      </c>
      <c r="E1287" t="s">
        <v>348</v>
      </c>
      <c r="F1287" t="s">
        <v>21</v>
      </c>
      <c r="G1287" t="s">
        <v>59</v>
      </c>
      <c r="H1287" s="4">
        <v>15</v>
      </c>
      <c r="I1287" t="str">
        <f t="shared" si="20"/>
        <v>Stellifer micropsRockhead</v>
      </c>
    </row>
    <row r="1288" spans="1:9" x14ac:dyDescent="0.35">
      <c r="A1288">
        <v>23</v>
      </c>
      <c r="B1288">
        <v>2017</v>
      </c>
      <c r="C1288">
        <v>2</v>
      </c>
      <c r="D1288" t="s">
        <v>175</v>
      </c>
      <c r="E1288" t="s">
        <v>348</v>
      </c>
      <c r="F1288" t="s">
        <v>21</v>
      </c>
      <c r="G1288" t="s">
        <v>59</v>
      </c>
      <c r="H1288" s="4">
        <v>10</v>
      </c>
      <c r="I1288" t="str">
        <f t="shared" si="20"/>
        <v>Stellifer micropsRockhead</v>
      </c>
    </row>
    <row r="1289" spans="1:9" x14ac:dyDescent="0.35">
      <c r="A1289">
        <v>23</v>
      </c>
      <c r="B1289">
        <v>2017</v>
      </c>
      <c r="C1289">
        <v>2</v>
      </c>
      <c r="D1289" t="s">
        <v>175</v>
      </c>
      <c r="E1289" t="s">
        <v>348</v>
      </c>
      <c r="F1289" t="s">
        <v>21</v>
      </c>
      <c r="G1289" t="s">
        <v>59</v>
      </c>
      <c r="H1289" s="4">
        <v>11</v>
      </c>
      <c r="I1289" t="str">
        <f t="shared" si="20"/>
        <v>Stellifer micropsRockhead</v>
      </c>
    </row>
    <row r="1290" spans="1:9" x14ac:dyDescent="0.35">
      <c r="A1290">
        <v>23</v>
      </c>
      <c r="B1290">
        <v>2017</v>
      </c>
      <c r="C1290">
        <v>2</v>
      </c>
      <c r="D1290" t="s">
        <v>175</v>
      </c>
      <c r="E1290" t="s">
        <v>348</v>
      </c>
      <c r="F1290" t="s">
        <v>21</v>
      </c>
      <c r="G1290" t="s">
        <v>59</v>
      </c>
      <c r="H1290" s="4">
        <v>12</v>
      </c>
      <c r="I1290" t="str">
        <f t="shared" si="20"/>
        <v>Stellifer micropsRockhead</v>
      </c>
    </row>
    <row r="1291" spans="1:9" x14ac:dyDescent="0.35">
      <c r="A1291">
        <v>23</v>
      </c>
      <c r="B1291">
        <v>2017</v>
      </c>
      <c r="C1291">
        <v>2</v>
      </c>
      <c r="D1291" t="s">
        <v>175</v>
      </c>
      <c r="E1291" t="s">
        <v>348</v>
      </c>
      <c r="F1291" t="s">
        <v>21</v>
      </c>
      <c r="G1291" t="s">
        <v>59</v>
      </c>
      <c r="H1291" s="4">
        <v>13</v>
      </c>
      <c r="I1291" t="str">
        <f t="shared" si="20"/>
        <v>Stellifer micropsRockhead</v>
      </c>
    </row>
    <row r="1292" spans="1:9" x14ac:dyDescent="0.35">
      <c r="A1292">
        <v>23</v>
      </c>
      <c r="B1292">
        <v>2017</v>
      </c>
      <c r="C1292">
        <v>2</v>
      </c>
      <c r="D1292" t="s">
        <v>175</v>
      </c>
      <c r="E1292" t="s">
        <v>348</v>
      </c>
      <c r="F1292" t="s">
        <v>21</v>
      </c>
      <c r="G1292" t="s">
        <v>59</v>
      </c>
      <c r="H1292" s="4">
        <v>15</v>
      </c>
      <c r="I1292" t="str">
        <f t="shared" si="20"/>
        <v>Stellifer micropsRockhead</v>
      </c>
    </row>
    <row r="1293" spans="1:9" x14ac:dyDescent="0.35">
      <c r="A1293">
        <v>23</v>
      </c>
      <c r="B1293">
        <v>2017</v>
      </c>
      <c r="C1293">
        <v>2</v>
      </c>
      <c r="D1293" t="s">
        <v>175</v>
      </c>
      <c r="E1293" t="s">
        <v>348</v>
      </c>
      <c r="F1293" t="s">
        <v>21</v>
      </c>
      <c r="G1293" t="s">
        <v>59</v>
      </c>
      <c r="H1293" s="4">
        <v>12</v>
      </c>
      <c r="I1293" t="str">
        <f t="shared" si="20"/>
        <v>Stellifer micropsRockhead</v>
      </c>
    </row>
    <row r="1294" spans="1:9" x14ac:dyDescent="0.35">
      <c r="A1294">
        <v>23</v>
      </c>
      <c r="B1294">
        <v>2017</v>
      </c>
      <c r="C1294">
        <v>2</v>
      </c>
      <c r="D1294" t="s">
        <v>175</v>
      </c>
      <c r="E1294" t="s">
        <v>348</v>
      </c>
      <c r="F1294" t="s">
        <v>21</v>
      </c>
      <c r="G1294" t="s">
        <v>59</v>
      </c>
      <c r="H1294" s="4">
        <v>13</v>
      </c>
      <c r="I1294" t="str">
        <f t="shared" si="20"/>
        <v>Stellifer micropsRockhead</v>
      </c>
    </row>
    <row r="1295" spans="1:9" x14ac:dyDescent="0.35">
      <c r="A1295">
        <v>23</v>
      </c>
      <c r="B1295">
        <v>2017</v>
      </c>
      <c r="C1295">
        <v>2</v>
      </c>
      <c r="D1295" t="s">
        <v>175</v>
      </c>
      <c r="E1295" t="s">
        <v>348</v>
      </c>
      <c r="F1295" t="s">
        <v>21</v>
      </c>
      <c r="G1295" t="s">
        <v>59</v>
      </c>
      <c r="H1295" s="4">
        <v>13</v>
      </c>
      <c r="I1295" t="str">
        <f t="shared" si="20"/>
        <v>Stellifer micropsRockhead</v>
      </c>
    </row>
    <row r="1296" spans="1:9" x14ac:dyDescent="0.35">
      <c r="A1296">
        <v>23</v>
      </c>
      <c r="B1296">
        <v>2017</v>
      </c>
      <c r="C1296">
        <v>2</v>
      </c>
      <c r="D1296" t="s">
        <v>175</v>
      </c>
      <c r="E1296" t="s">
        <v>348</v>
      </c>
      <c r="F1296" t="s">
        <v>21</v>
      </c>
      <c r="G1296" t="s">
        <v>59</v>
      </c>
      <c r="H1296" s="4">
        <v>14</v>
      </c>
      <c r="I1296" t="str">
        <f t="shared" si="20"/>
        <v>Stellifer micropsRockhead</v>
      </c>
    </row>
    <row r="1297" spans="1:9" x14ac:dyDescent="0.35">
      <c r="A1297">
        <v>23</v>
      </c>
      <c r="B1297">
        <v>2017</v>
      </c>
      <c r="C1297">
        <v>2</v>
      </c>
      <c r="D1297" t="s">
        <v>175</v>
      </c>
      <c r="E1297" t="s">
        <v>348</v>
      </c>
      <c r="F1297" t="s">
        <v>21</v>
      </c>
      <c r="G1297" t="s">
        <v>59</v>
      </c>
      <c r="H1297" s="4">
        <v>10</v>
      </c>
      <c r="I1297" t="str">
        <f t="shared" si="20"/>
        <v>Stellifer micropsRockhead</v>
      </c>
    </row>
    <row r="1298" spans="1:9" x14ac:dyDescent="0.35">
      <c r="A1298">
        <v>23</v>
      </c>
      <c r="B1298">
        <v>2017</v>
      </c>
      <c r="C1298">
        <v>2</v>
      </c>
      <c r="D1298" t="s">
        <v>175</v>
      </c>
      <c r="E1298" t="s">
        <v>348</v>
      </c>
      <c r="F1298" t="s">
        <v>21</v>
      </c>
      <c r="G1298" t="s">
        <v>59</v>
      </c>
      <c r="H1298" s="4">
        <v>11</v>
      </c>
      <c r="I1298" t="str">
        <f t="shared" si="20"/>
        <v>Stellifer micropsRockhead</v>
      </c>
    </row>
    <row r="1299" spans="1:9" x14ac:dyDescent="0.35">
      <c r="A1299">
        <v>23</v>
      </c>
      <c r="B1299">
        <v>2017</v>
      </c>
      <c r="C1299">
        <v>2</v>
      </c>
      <c r="D1299" t="s">
        <v>175</v>
      </c>
      <c r="E1299" t="s">
        <v>348</v>
      </c>
      <c r="F1299" t="s">
        <v>21</v>
      </c>
      <c r="G1299" t="s">
        <v>59</v>
      </c>
      <c r="H1299" s="4">
        <v>14</v>
      </c>
      <c r="I1299" t="str">
        <f t="shared" si="20"/>
        <v>Stellifer micropsRockhead</v>
      </c>
    </row>
    <row r="1300" spans="1:9" x14ac:dyDescent="0.35">
      <c r="A1300">
        <v>23</v>
      </c>
      <c r="B1300">
        <v>2017</v>
      </c>
      <c r="C1300">
        <v>2</v>
      </c>
      <c r="D1300" t="s">
        <v>175</v>
      </c>
      <c r="E1300" t="s">
        <v>348</v>
      </c>
      <c r="F1300" t="s">
        <v>21</v>
      </c>
      <c r="G1300" t="s">
        <v>59</v>
      </c>
      <c r="H1300" s="4">
        <v>12</v>
      </c>
      <c r="I1300" t="str">
        <f t="shared" si="20"/>
        <v>Stellifer micropsRockhead</v>
      </c>
    </row>
    <row r="1301" spans="1:9" x14ac:dyDescent="0.35">
      <c r="A1301">
        <v>23</v>
      </c>
      <c r="B1301">
        <v>2017</v>
      </c>
      <c r="C1301">
        <v>2</v>
      </c>
      <c r="D1301" t="s">
        <v>175</v>
      </c>
      <c r="E1301" t="s">
        <v>348</v>
      </c>
      <c r="F1301" t="s">
        <v>21</v>
      </c>
      <c r="G1301" t="s">
        <v>59</v>
      </c>
      <c r="H1301" s="4">
        <v>11</v>
      </c>
      <c r="I1301" t="str">
        <f t="shared" si="20"/>
        <v>Stellifer micropsRockhead</v>
      </c>
    </row>
    <row r="1302" spans="1:9" x14ac:dyDescent="0.35">
      <c r="A1302">
        <v>23</v>
      </c>
      <c r="B1302">
        <v>2017</v>
      </c>
      <c r="C1302">
        <v>2</v>
      </c>
      <c r="D1302" t="s">
        <v>175</v>
      </c>
      <c r="E1302" t="s">
        <v>348</v>
      </c>
      <c r="F1302" t="s">
        <v>21</v>
      </c>
      <c r="G1302" t="s">
        <v>59</v>
      </c>
      <c r="H1302" s="4">
        <v>11</v>
      </c>
      <c r="I1302" t="str">
        <f t="shared" si="20"/>
        <v>Stellifer micropsRockhead</v>
      </c>
    </row>
    <row r="1303" spans="1:9" x14ac:dyDescent="0.35">
      <c r="A1303">
        <v>23</v>
      </c>
      <c r="B1303">
        <v>2017</v>
      </c>
      <c r="C1303">
        <v>2</v>
      </c>
      <c r="D1303" t="s">
        <v>175</v>
      </c>
      <c r="E1303" t="s">
        <v>348</v>
      </c>
      <c r="F1303" t="s">
        <v>21</v>
      </c>
      <c r="G1303" t="s">
        <v>59</v>
      </c>
      <c r="H1303" s="4">
        <v>13</v>
      </c>
      <c r="I1303" t="str">
        <f t="shared" si="20"/>
        <v>Stellifer micropsRockhead</v>
      </c>
    </row>
    <row r="1304" spans="1:9" x14ac:dyDescent="0.35">
      <c r="A1304">
        <v>23</v>
      </c>
      <c r="B1304">
        <v>2017</v>
      </c>
      <c r="C1304">
        <v>2</v>
      </c>
      <c r="D1304" t="s">
        <v>175</v>
      </c>
      <c r="E1304" t="s">
        <v>348</v>
      </c>
      <c r="F1304" t="s">
        <v>21</v>
      </c>
      <c r="G1304" t="s">
        <v>59</v>
      </c>
      <c r="H1304" s="4">
        <v>12</v>
      </c>
      <c r="I1304" t="str">
        <f t="shared" si="20"/>
        <v>Stellifer micropsRockhead</v>
      </c>
    </row>
    <row r="1305" spans="1:9" x14ac:dyDescent="0.35">
      <c r="A1305">
        <v>23</v>
      </c>
      <c r="B1305">
        <v>2017</v>
      </c>
      <c r="C1305">
        <v>2</v>
      </c>
      <c r="D1305" t="s">
        <v>175</v>
      </c>
      <c r="E1305" t="s">
        <v>348</v>
      </c>
      <c r="F1305" t="s">
        <v>21</v>
      </c>
      <c r="G1305" t="s">
        <v>59</v>
      </c>
      <c r="H1305" s="4">
        <v>12</v>
      </c>
      <c r="I1305" t="str">
        <f t="shared" si="20"/>
        <v>Stellifer micropsRockhead</v>
      </c>
    </row>
    <row r="1306" spans="1:9" x14ac:dyDescent="0.35">
      <c r="A1306">
        <v>23</v>
      </c>
      <c r="B1306">
        <v>2017</v>
      </c>
      <c r="C1306">
        <v>2</v>
      </c>
      <c r="D1306" t="s">
        <v>175</v>
      </c>
      <c r="E1306" t="s">
        <v>348</v>
      </c>
      <c r="F1306" t="s">
        <v>21</v>
      </c>
      <c r="G1306" t="s">
        <v>59</v>
      </c>
      <c r="H1306" s="4">
        <v>12</v>
      </c>
      <c r="I1306" t="str">
        <f t="shared" si="20"/>
        <v>Stellifer micropsRockhead</v>
      </c>
    </row>
    <row r="1307" spans="1:9" x14ac:dyDescent="0.35">
      <c r="A1307">
        <v>23</v>
      </c>
      <c r="B1307">
        <v>2017</v>
      </c>
      <c r="C1307">
        <v>2</v>
      </c>
      <c r="D1307" t="s">
        <v>175</v>
      </c>
      <c r="E1307" t="s">
        <v>348</v>
      </c>
      <c r="F1307" t="s">
        <v>21</v>
      </c>
      <c r="G1307" t="s">
        <v>59</v>
      </c>
      <c r="H1307" s="4">
        <v>11</v>
      </c>
      <c r="I1307" t="str">
        <f t="shared" si="20"/>
        <v>Stellifer micropsRockhead</v>
      </c>
    </row>
    <row r="1308" spans="1:9" x14ac:dyDescent="0.35">
      <c r="A1308">
        <v>23</v>
      </c>
      <c r="B1308">
        <v>2017</v>
      </c>
      <c r="C1308">
        <v>2</v>
      </c>
      <c r="D1308" t="s">
        <v>175</v>
      </c>
      <c r="E1308" t="s">
        <v>348</v>
      </c>
      <c r="F1308" t="s">
        <v>21</v>
      </c>
      <c r="G1308" t="s">
        <v>59</v>
      </c>
      <c r="H1308" s="4">
        <v>10</v>
      </c>
      <c r="I1308" t="str">
        <f t="shared" si="20"/>
        <v>Stellifer micropsRockhead</v>
      </c>
    </row>
    <row r="1309" spans="1:9" x14ac:dyDescent="0.35">
      <c r="A1309">
        <v>23</v>
      </c>
      <c r="B1309">
        <v>2017</v>
      </c>
      <c r="C1309">
        <v>2</v>
      </c>
      <c r="D1309" t="s">
        <v>175</v>
      </c>
      <c r="E1309" t="s">
        <v>348</v>
      </c>
      <c r="F1309" t="s">
        <v>21</v>
      </c>
      <c r="G1309" t="s">
        <v>59</v>
      </c>
      <c r="H1309" s="4">
        <v>10</v>
      </c>
      <c r="I1309" t="str">
        <f t="shared" si="20"/>
        <v>Stellifer micropsRockhead</v>
      </c>
    </row>
    <row r="1310" spans="1:9" x14ac:dyDescent="0.35">
      <c r="A1310">
        <v>23</v>
      </c>
      <c r="B1310">
        <v>2017</v>
      </c>
      <c r="C1310">
        <v>2</v>
      </c>
      <c r="D1310" t="s">
        <v>175</v>
      </c>
      <c r="E1310" t="s">
        <v>348</v>
      </c>
      <c r="F1310" t="s">
        <v>21</v>
      </c>
      <c r="G1310" t="s">
        <v>59</v>
      </c>
      <c r="H1310" s="4">
        <v>12</v>
      </c>
      <c r="I1310" t="str">
        <f t="shared" si="20"/>
        <v>Stellifer micropsRockhead</v>
      </c>
    </row>
    <row r="1311" spans="1:9" x14ac:dyDescent="0.35">
      <c r="A1311">
        <v>23</v>
      </c>
      <c r="B1311">
        <v>2017</v>
      </c>
      <c r="C1311">
        <v>2</v>
      </c>
      <c r="D1311" t="s">
        <v>175</v>
      </c>
      <c r="E1311" t="s">
        <v>348</v>
      </c>
      <c r="F1311" t="s">
        <v>21</v>
      </c>
      <c r="G1311" t="s">
        <v>59</v>
      </c>
      <c r="H1311" s="4">
        <v>13</v>
      </c>
      <c r="I1311" t="str">
        <f t="shared" si="20"/>
        <v>Stellifer micropsRockhead</v>
      </c>
    </row>
    <row r="1312" spans="1:9" x14ac:dyDescent="0.35">
      <c r="A1312">
        <v>23</v>
      </c>
      <c r="B1312">
        <v>2017</v>
      </c>
      <c r="C1312">
        <v>2</v>
      </c>
      <c r="D1312" t="s">
        <v>175</v>
      </c>
      <c r="E1312" t="s">
        <v>348</v>
      </c>
      <c r="F1312" t="s">
        <v>21</v>
      </c>
      <c r="G1312" t="s">
        <v>59</v>
      </c>
      <c r="H1312" s="4">
        <v>12</v>
      </c>
      <c r="I1312" t="str">
        <f t="shared" si="20"/>
        <v>Stellifer micropsRockhead</v>
      </c>
    </row>
    <row r="1313" spans="1:9" x14ac:dyDescent="0.35">
      <c r="A1313">
        <v>23</v>
      </c>
      <c r="B1313">
        <v>2017</v>
      </c>
      <c r="C1313">
        <v>2</v>
      </c>
      <c r="D1313" t="s">
        <v>175</v>
      </c>
      <c r="E1313" t="s">
        <v>348</v>
      </c>
      <c r="F1313" t="s">
        <v>21</v>
      </c>
      <c r="G1313" t="s">
        <v>59</v>
      </c>
      <c r="H1313" s="4">
        <v>13</v>
      </c>
      <c r="I1313" t="str">
        <f t="shared" si="20"/>
        <v>Stellifer micropsRockhead</v>
      </c>
    </row>
    <row r="1314" spans="1:9" x14ac:dyDescent="0.35">
      <c r="A1314">
        <v>23</v>
      </c>
      <c r="B1314">
        <v>2017</v>
      </c>
      <c r="C1314">
        <v>2</v>
      </c>
      <c r="D1314" t="s">
        <v>175</v>
      </c>
      <c r="E1314" t="s">
        <v>348</v>
      </c>
      <c r="F1314" t="s">
        <v>21</v>
      </c>
      <c r="G1314" t="s">
        <v>59</v>
      </c>
      <c r="H1314" s="4">
        <v>11</v>
      </c>
      <c r="I1314" t="str">
        <f t="shared" si="20"/>
        <v>Stellifer micropsRockhead</v>
      </c>
    </row>
    <row r="1315" spans="1:9" x14ac:dyDescent="0.35">
      <c r="A1315">
        <v>23</v>
      </c>
      <c r="B1315">
        <v>2017</v>
      </c>
      <c r="C1315">
        <v>2</v>
      </c>
      <c r="D1315" t="s">
        <v>175</v>
      </c>
      <c r="E1315" t="s">
        <v>348</v>
      </c>
      <c r="F1315" t="s">
        <v>21</v>
      </c>
      <c r="G1315" t="s">
        <v>59</v>
      </c>
      <c r="H1315" s="4">
        <v>11</v>
      </c>
      <c r="I1315" t="str">
        <f t="shared" si="20"/>
        <v>Stellifer micropsRockhead</v>
      </c>
    </row>
    <row r="1316" spans="1:9" x14ac:dyDescent="0.35">
      <c r="A1316">
        <v>23</v>
      </c>
      <c r="B1316">
        <v>2017</v>
      </c>
      <c r="C1316">
        <v>2</v>
      </c>
      <c r="D1316" t="s">
        <v>175</v>
      </c>
      <c r="E1316" t="s">
        <v>348</v>
      </c>
      <c r="F1316" t="s">
        <v>21</v>
      </c>
      <c r="G1316" t="s">
        <v>59</v>
      </c>
      <c r="H1316" s="4">
        <v>10</v>
      </c>
      <c r="I1316" t="str">
        <f t="shared" si="20"/>
        <v>Stellifer micropsRockhead</v>
      </c>
    </row>
    <row r="1317" spans="1:9" x14ac:dyDescent="0.35">
      <c r="A1317">
        <v>23</v>
      </c>
      <c r="B1317">
        <v>2017</v>
      </c>
      <c r="C1317">
        <v>2</v>
      </c>
      <c r="D1317" t="s">
        <v>175</v>
      </c>
      <c r="E1317" t="s">
        <v>348</v>
      </c>
      <c r="F1317" t="s">
        <v>21</v>
      </c>
      <c r="G1317" t="s">
        <v>59</v>
      </c>
      <c r="H1317" s="4">
        <v>10</v>
      </c>
      <c r="I1317" t="str">
        <f t="shared" si="20"/>
        <v>Stellifer micropsRockhead</v>
      </c>
    </row>
    <row r="1318" spans="1:9" x14ac:dyDescent="0.35">
      <c r="A1318">
        <v>23</v>
      </c>
      <c r="B1318">
        <v>2017</v>
      </c>
      <c r="C1318">
        <v>2</v>
      </c>
      <c r="D1318" t="s">
        <v>175</v>
      </c>
      <c r="E1318" t="s">
        <v>348</v>
      </c>
      <c r="F1318" t="s">
        <v>21</v>
      </c>
      <c r="G1318" t="s">
        <v>59</v>
      </c>
      <c r="H1318" s="4">
        <v>13</v>
      </c>
      <c r="I1318" t="str">
        <f t="shared" si="20"/>
        <v>Stellifer micropsRockhead</v>
      </c>
    </row>
    <row r="1319" spans="1:9" x14ac:dyDescent="0.35">
      <c r="A1319">
        <v>23</v>
      </c>
      <c r="B1319">
        <v>2017</v>
      </c>
      <c r="C1319">
        <v>2</v>
      </c>
      <c r="D1319" t="s">
        <v>175</v>
      </c>
      <c r="E1319" t="s">
        <v>348</v>
      </c>
      <c r="F1319" t="s">
        <v>21</v>
      </c>
      <c r="G1319" t="s">
        <v>59</v>
      </c>
      <c r="H1319" s="4">
        <v>12</v>
      </c>
      <c r="I1319" t="str">
        <f t="shared" si="20"/>
        <v>Stellifer micropsRockhead</v>
      </c>
    </row>
    <row r="1320" spans="1:9" x14ac:dyDescent="0.35">
      <c r="A1320">
        <v>23</v>
      </c>
      <c r="B1320">
        <v>2017</v>
      </c>
      <c r="C1320">
        <v>2</v>
      </c>
      <c r="D1320" t="s">
        <v>175</v>
      </c>
      <c r="E1320" t="s">
        <v>348</v>
      </c>
      <c r="F1320" t="s">
        <v>21</v>
      </c>
      <c r="G1320" t="s">
        <v>59</v>
      </c>
      <c r="H1320" s="4">
        <v>11</v>
      </c>
      <c r="I1320" t="str">
        <f t="shared" si="20"/>
        <v>Stellifer micropsRockhead</v>
      </c>
    </row>
    <row r="1321" spans="1:9" x14ac:dyDescent="0.35">
      <c r="A1321">
        <v>23</v>
      </c>
      <c r="B1321">
        <v>2017</v>
      </c>
      <c r="C1321">
        <v>2</v>
      </c>
      <c r="D1321" t="s">
        <v>175</v>
      </c>
      <c r="E1321" t="s">
        <v>348</v>
      </c>
      <c r="F1321" t="s">
        <v>43</v>
      </c>
      <c r="G1321" t="s">
        <v>57</v>
      </c>
      <c r="H1321" s="4">
        <v>22</v>
      </c>
      <c r="I1321" t="str">
        <f t="shared" si="20"/>
        <v>Cynoscion virescensSeatrout</v>
      </c>
    </row>
    <row r="1322" spans="1:9" x14ac:dyDescent="0.35">
      <c r="A1322">
        <v>23</v>
      </c>
      <c r="B1322">
        <v>2017</v>
      </c>
      <c r="C1322">
        <v>2</v>
      </c>
      <c r="D1322" t="s">
        <v>175</v>
      </c>
      <c r="E1322" t="s">
        <v>348</v>
      </c>
      <c r="F1322" t="s">
        <v>43</v>
      </c>
      <c r="G1322" t="s">
        <v>57</v>
      </c>
      <c r="H1322" s="4">
        <v>22</v>
      </c>
      <c r="I1322" t="str">
        <f t="shared" si="20"/>
        <v>Cynoscion virescensSeatrout</v>
      </c>
    </row>
    <row r="1323" spans="1:9" x14ac:dyDescent="0.35">
      <c r="A1323">
        <v>23</v>
      </c>
      <c r="B1323">
        <v>2017</v>
      </c>
      <c r="C1323">
        <v>2</v>
      </c>
      <c r="D1323" t="s">
        <v>175</v>
      </c>
      <c r="E1323" t="s">
        <v>348</v>
      </c>
      <c r="F1323" t="s">
        <v>43</v>
      </c>
      <c r="G1323" t="s">
        <v>57</v>
      </c>
      <c r="H1323" s="4">
        <v>18</v>
      </c>
      <c r="I1323" t="str">
        <f t="shared" si="20"/>
        <v>Cynoscion virescensSeatrout</v>
      </c>
    </row>
    <row r="1324" spans="1:9" x14ac:dyDescent="0.35">
      <c r="A1324">
        <v>23</v>
      </c>
      <c r="B1324">
        <v>2017</v>
      </c>
      <c r="C1324">
        <v>2</v>
      </c>
      <c r="D1324" t="s">
        <v>175</v>
      </c>
      <c r="E1324" t="s">
        <v>348</v>
      </c>
      <c r="F1324" t="s">
        <v>43</v>
      </c>
      <c r="G1324" t="s">
        <v>57</v>
      </c>
      <c r="H1324" s="4">
        <v>11</v>
      </c>
      <c r="I1324" t="str">
        <f t="shared" si="20"/>
        <v>Cynoscion virescensSeatrout</v>
      </c>
    </row>
    <row r="1325" spans="1:9" x14ac:dyDescent="0.35">
      <c r="A1325">
        <v>23</v>
      </c>
      <c r="B1325">
        <v>2017</v>
      </c>
      <c r="C1325">
        <v>2</v>
      </c>
      <c r="D1325" t="s">
        <v>175</v>
      </c>
      <c r="E1325" t="s">
        <v>348</v>
      </c>
      <c r="F1325" t="s">
        <v>43</v>
      </c>
      <c r="G1325" t="s">
        <v>57</v>
      </c>
      <c r="H1325" s="4">
        <v>27</v>
      </c>
      <c r="I1325" t="str">
        <f t="shared" si="20"/>
        <v>Cynoscion virescensSeatrout</v>
      </c>
    </row>
    <row r="1326" spans="1:9" x14ac:dyDescent="0.35">
      <c r="A1326">
        <v>23</v>
      </c>
      <c r="B1326">
        <v>2017</v>
      </c>
      <c r="C1326">
        <v>2</v>
      </c>
      <c r="D1326" t="s">
        <v>175</v>
      </c>
      <c r="E1326" t="s">
        <v>348</v>
      </c>
      <c r="F1326" t="s">
        <v>43</v>
      </c>
      <c r="G1326" t="s">
        <v>57</v>
      </c>
      <c r="H1326" s="4">
        <v>20</v>
      </c>
      <c r="I1326" t="str">
        <f t="shared" si="20"/>
        <v>Cynoscion virescensSeatrout</v>
      </c>
    </row>
    <row r="1327" spans="1:9" x14ac:dyDescent="0.35">
      <c r="A1327">
        <v>23</v>
      </c>
      <c r="B1327">
        <v>2017</v>
      </c>
      <c r="C1327">
        <v>2</v>
      </c>
      <c r="D1327" t="s">
        <v>175</v>
      </c>
      <c r="E1327" t="s">
        <v>348</v>
      </c>
      <c r="F1327" t="s">
        <v>43</v>
      </c>
      <c r="G1327" t="s">
        <v>57</v>
      </c>
      <c r="H1327" s="4">
        <v>18</v>
      </c>
      <c r="I1327" t="str">
        <f t="shared" si="20"/>
        <v>Cynoscion virescensSeatrout</v>
      </c>
    </row>
    <row r="1328" spans="1:9" x14ac:dyDescent="0.35">
      <c r="A1328">
        <v>23</v>
      </c>
      <c r="B1328">
        <v>2017</v>
      </c>
      <c r="C1328">
        <v>2</v>
      </c>
      <c r="D1328" t="s">
        <v>175</v>
      </c>
      <c r="E1328" t="s">
        <v>348</v>
      </c>
      <c r="F1328" t="s">
        <v>43</v>
      </c>
      <c r="G1328" t="s">
        <v>57</v>
      </c>
      <c r="H1328" s="4">
        <v>19</v>
      </c>
      <c r="I1328" t="str">
        <f t="shared" si="20"/>
        <v>Cynoscion virescensSeatrout</v>
      </c>
    </row>
    <row r="1329" spans="1:9" x14ac:dyDescent="0.35">
      <c r="A1329">
        <v>23</v>
      </c>
      <c r="B1329">
        <v>2017</v>
      </c>
      <c r="C1329">
        <v>2</v>
      </c>
      <c r="D1329" t="s">
        <v>175</v>
      </c>
      <c r="E1329" t="s">
        <v>348</v>
      </c>
      <c r="F1329" t="s">
        <v>43</v>
      </c>
      <c r="G1329" t="s">
        <v>57</v>
      </c>
      <c r="H1329" s="4">
        <v>17</v>
      </c>
      <c r="I1329" t="str">
        <f t="shared" si="20"/>
        <v>Cynoscion virescensSeatrout</v>
      </c>
    </row>
    <row r="1330" spans="1:9" x14ac:dyDescent="0.35">
      <c r="A1330">
        <v>23</v>
      </c>
      <c r="B1330">
        <v>2017</v>
      </c>
      <c r="C1330">
        <v>2</v>
      </c>
      <c r="D1330" t="s">
        <v>175</v>
      </c>
      <c r="E1330" t="s">
        <v>348</v>
      </c>
      <c r="F1330" t="s">
        <v>43</v>
      </c>
      <c r="G1330" t="s">
        <v>57</v>
      </c>
      <c r="H1330" s="4">
        <v>21</v>
      </c>
      <c r="I1330" t="str">
        <f t="shared" si="20"/>
        <v>Cynoscion virescensSeatrout</v>
      </c>
    </row>
    <row r="1331" spans="1:9" x14ac:dyDescent="0.35">
      <c r="A1331">
        <v>23</v>
      </c>
      <c r="B1331">
        <v>2017</v>
      </c>
      <c r="C1331">
        <v>2</v>
      </c>
      <c r="D1331" t="s">
        <v>175</v>
      </c>
      <c r="E1331" t="s">
        <v>348</v>
      </c>
      <c r="F1331" t="s">
        <v>43</v>
      </c>
      <c r="G1331" t="s">
        <v>57</v>
      </c>
      <c r="H1331" s="4">
        <v>19</v>
      </c>
      <c r="I1331" t="str">
        <f t="shared" si="20"/>
        <v>Cynoscion virescensSeatrout</v>
      </c>
    </row>
    <row r="1332" spans="1:9" x14ac:dyDescent="0.35">
      <c r="A1332">
        <v>23</v>
      </c>
      <c r="B1332">
        <v>2017</v>
      </c>
      <c r="C1332">
        <v>2</v>
      </c>
      <c r="D1332" t="s">
        <v>175</v>
      </c>
      <c r="E1332" t="s">
        <v>348</v>
      </c>
      <c r="F1332" t="s">
        <v>43</v>
      </c>
      <c r="G1332" t="s">
        <v>57</v>
      </c>
      <c r="H1332" s="4">
        <v>24</v>
      </c>
      <c r="I1332" t="str">
        <f t="shared" si="20"/>
        <v>Cynoscion virescensSeatrout</v>
      </c>
    </row>
    <row r="1333" spans="1:9" x14ac:dyDescent="0.35">
      <c r="A1333">
        <v>23</v>
      </c>
      <c r="B1333">
        <v>2017</v>
      </c>
      <c r="C1333">
        <v>2</v>
      </c>
      <c r="D1333" t="s">
        <v>175</v>
      </c>
      <c r="E1333" t="s">
        <v>348</v>
      </c>
      <c r="F1333" t="s">
        <v>43</v>
      </c>
      <c r="G1333" t="s">
        <v>57</v>
      </c>
      <c r="H1333" s="4">
        <v>23</v>
      </c>
      <c r="I1333" t="str">
        <f t="shared" si="20"/>
        <v>Cynoscion virescensSeatrout</v>
      </c>
    </row>
    <row r="1334" spans="1:9" x14ac:dyDescent="0.35">
      <c r="A1334">
        <v>23</v>
      </c>
      <c r="B1334">
        <v>2017</v>
      </c>
      <c r="C1334">
        <v>2</v>
      </c>
      <c r="D1334" t="s">
        <v>175</v>
      </c>
      <c r="E1334" t="s">
        <v>348</v>
      </c>
      <c r="F1334" t="s">
        <v>43</v>
      </c>
      <c r="G1334" t="s">
        <v>57</v>
      </c>
      <c r="H1334" s="4">
        <v>22</v>
      </c>
      <c r="I1334" t="str">
        <f t="shared" si="20"/>
        <v>Cynoscion virescensSeatrout</v>
      </c>
    </row>
    <row r="1335" spans="1:9" x14ac:dyDescent="0.35">
      <c r="A1335">
        <v>23</v>
      </c>
      <c r="B1335">
        <v>2017</v>
      </c>
      <c r="C1335">
        <v>2</v>
      </c>
      <c r="D1335" t="s">
        <v>175</v>
      </c>
      <c r="E1335" t="s">
        <v>348</v>
      </c>
      <c r="F1335" t="s">
        <v>43</v>
      </c>
      <c r="G1335" t="s">
        <v>57</v>
      </c>
      <c r="H1335" s="4">
        <v>21</v>
      </c>
      <c r="I1335" t="str">
        <f t="shared" si="20"/>
        <v>Cynoscion virescensSeatrout</v>
      </c>
    </row>
    <row r="1336" spans="1:9" x14ac:dyDescent="0.35">
      <c r="A1336">
        <v>23</v>
      </c>
      <c r="B1336">
        <v>2017</v>
      </c>
      <c r="C1336">
        <v>2</v>
      </c>
      <c r="D1336" t="s">
        <v>175</v>
      </c>
      <c r="E1336" t="s">
        <v>348</v>
      </c>
      <c r="F1336" t="s">
        <v>43</v>
      </c>
      <c r="G1336" t="s">
        <v>57</v>
      </c>
      <c r="H1336" s="4">
        <v>20</v>
      </c>
      <c r="I1336" t="str">
        <f t="shared" si="20"/>
        <v>Cynoscion virescensSeatrout</v>
      </c>
    </row>
    <row r="1337" spans="1:9" x14ac:dyDescent="0.35">
      <c r="A1337">
        <v>23</v>
      </c>
      <c r="B1337">
        <v>2017</v>
      </c>
      <c r="C1337">
        <v>2</v>
      </c>
      <c r="D1337" t="s">
        <v>175</v>
      </c>
      <c r="E1337" t="s">
        <v>348</v>
      </c>
      <c r="F1337" t="s">
        <v>43</v>
      </c>
      <c r="G1337" t="s">
        <v>57</v>
      </c>
      <c r="H1337" s="4">
        <v>15</v>
      </c>
      <c r="I1337" t="str">
        <f t="shared" si="20"/>
        <v>Cynoscion virescensSeatrout</v>
      </c>
    </row>
    <row r="1338" spans="1:9" x14ac:dyDescent="0.35">
      <c r="A1338">
        <v>23</v>
      </c>
      <c r="B1338">
        <v>2017</v>
      </c>
      <c r="C1338">
        <v>2</v>
      </c>
      <c r="D1338" t="s">
        <v>175</v>
      </c>
      <c r="E1338" t="s">
        <v>348</v>
      </c>
      <c r="F1338" t="s">
        <v>43</v>
      </c>
      <c r="G1338" t="s">
        <v>57</v>
      </c>
      <c r="H1338" s="4">
        <v>15</v>
      </c>
      <c r="I1338" t="str">
        <f t="shared" si="20"/>
        <v>Cynoscion virescensSeatrout</v>
      </c>
    </row>
    <row r="1339" spans="1:9" x14ac:dyDescent="0.35">
      <c r="A1339">
        <v>23</v>
      </c>
      <c r="B1339">
        <v>2017</v>
      </c>
      <c r="C1339">
        <v>2</v>
      </c>
      <c r="D1339" t="s">
        <v>175</v>
      </c>
      <c r="E1339" t="s">
        <v>348</v>
      </c>
      <c r="F1339" t="s">
        <v>43</v>
      </c>
      <c r="G1339" t="s">
        <v>57</v>
      </c>
      <c r="H1339" s="4">
        <v>16</v>
      </c>
      <c r="I1339" t="str">
        <f t="shared" si="20"/>
        <v>Cynoscion virescensSeatrout</v>
      </c>
    </row>
    <row r="1340" spans="1:9" x14ac:dyDescent="0.35">
      <c r="A1340">
        <v>23</v>
      </c>
      <c r="B1340">
        <v>2017</v>
      </c>
      <c r="C1340">
        <v>2</v>
      </c>
      <c r="D1340" t="s">
        <v>175</v>
      </c>
      <c r="E1340" t="s">
        <v>348</v>
      </c>
      <c r="F1340" t="s">
        <v>43</v>
      </c>
      <c r="G1340" t="s">
        <v>57</v>
      </c>
      <c r="H1340" s="4">
        <v>16</v>
      </c>
      <c r="I1340" t="str">
        <f t="shared" si="20"/>
        <v>Cynoscion virescensSeatrout</v>
      </c>
    </row>
    <row r="1341" spans="1:9" x14ac:dyDescent="0.35">
      <c r="A1341">
        <v>23</v>
      </c>
      <c r="B1341">
        <v>2017</v>
      </c>
      <c r="C1341">
        <v>2</v>
      </c>
      <c r="D1341" t="s">
        <v>175</v>
      </c>
      <c r="E1341" t="s">
        <v>348</v>
      </c>
      <c r="F1341" t="s">
        <v>43</v>
      </c>
      <c r="G1341" t="s">
        <v>57</v>
      </c>
      <c r="H1341" s="4">
        <v>14</v>
      </c>
      <c r="I1341" t="str">
        <f t="shared" si="20"/>
        <v>Cynoscion virescensSeatrout</v>
      </c>
    </row>
    <row r="1342" spans="1:9" x14ac:dyDescent="0.35">
      <c r="A1342">
        <v>23</v>
      </c>
      <c r="B1342">
        <v>2017</v>
      </c>
      <c r="C1342">
        <v>2</v>
      </c>
      <c r="D1342" t="s">
        <v>175</v>
      </c>
      <c r="E1342" t="s">
        <v>348</v>
      </c>
      <c r="F1342" t="s">
        <v>43</v>
      </c>
      <c r="G1342" t="s">
        <v>57</v>
      </c>
      <c r="H1342" s="4">
        <v>17</v>
      </c>
      <c r="I1342" t="str">
        <f t="shared" si="20"/>
        <v>Cynoscion virescensSeatrout</v>
      </c>
    </row>
    <row r="1343" spans="1:9" x14ac:dyDescent="0.35">
      <c r="A1343">
        <v>23</v>
      </c>
      <c r="B1343">
        <v>2017</v>
      </c>
      <c r="C1343">
        <v>2</v>
      </c>
      <c r="D1343" t="s">
        <v>175</v>
      </c>
      <c r="E1343" t="s">
        <v>348</v>
      </c>
      <c r="F1343" t="s">
        <v>43</v>
      </c>
      <c r="G1343" t="s">
        <v>57</v>
      </c>
      <c r="H1343" s="4">
        <v>15</v>
      </c>
      <c r="I1343" t="str">
        <f t="shared" si="20"/>
        <v>Cynoscion virescensSeatrout</v>
      </c>
    </row>
    <row r="1344" spans="1:9" x14ac:dyDescent="0.35">
      <c r="A1344">
        <v>23</v>
      </c>
      <c r="B1344">
        <v>2017</v>
      </c>
      <c r="C1344">
        <v>2</v>
      </c>
      <c r="D1344" t="s">
        <v>175</v>
      </c>
      <c r="E1344" t="s">
        <v>348</v>
      </c>
      <c r="F1344" t="s">
        <v>43</v>
      </c>
      <c r="G1344" t="s">
        <v>57</v>
      </c>
      <c r="H1344" s="4">
        <v>15</v>
      </c>
      <c r="I1344" t="str">
        <f t="shared" si="20"/>
        <v>Cynoscion virescensSeatrout</v>
      </c>
    </row>
    <row r="1345" spans="1:9" x14ac:dyDescent="0.35">
      <c r="A1345">
        <v>23</v>
      </c>
      <c r="B1345">
        <v>2017</v>
      </c>
      <c r="C1345">
        <v>2</v>
      </c>
      <c r="D1345" t="s">
        <v>175</v>
      </c>
      <c r="E1345" t="s">
        <v>348</v>
      </c>
      <c r="F1345" t="s">
        <v>43</v>
      </c>
      <c r="G1345" t="s">
        <v>57</v>
      </c>
      <c r="H1345" s="4">
        <v>16</v>
      </c>
      <c r="I1345" t="str">
        <f t="shared" si="20"/>
        <v>Cynoscion virescensSeatrout</v>
      </c>
    </row>
    <row r="1346" spans="1:9" x14ac:dyDescent="0.35">
      <c r="A1346">
        <v>23</v>
      </c>
      <c r="B1346">
        <v>2017</v>
      </c>
      <c r="C1346">
        <v>2</v>
      </c>
      <c r="D1346" t="s">
        <v>175</v>
      </c>
      <c r="E1346" t="s">
        <v>348</v>
      </c>
      <c r="F1346" t="s">
        <v>43</v>
      </c>
      <c r="G1346" t="s">
        <v>57</v>
      </c>
      <c r="H1346" s="4">
        <v>16</v>
      </c>
      <c r="I1346" t="str">
        <f t="shared" ref="I1346:I1409" si="21">CONCATENATE(F1346,G1346)</f>
        <v>Cynoscion virescensSeatrout</v>
      </c>
    </row>
    <row r="1347" spans="1:9" x14ac:dyDescent="0.35">
      <c r="A1347">
        <v>23</v>
      </c>
      <c r="B1347">
        <v>2017</v>
      </c>
      <c r="C1347">
        <v>2</v>
      </c>
      <c r="D1347" t="s">
        <v>175</v>
      </c>
      <c r="E1347" t="s">
        <v>348</v>
      </c>
      <c r="F1347" t="s">
        <v>43</v>
      </c>
      <c r="G1347" t="s">
        <v>57</v>
      </c>
      <c r="H1347" s="4">
        <v>13</v>
      </c>
      <c r="I1347" t="str">
        <f t="shared" si="21"/>
        <v>Cynoscion virescensSeatrout</v>
      </c>
    </row>
    <row r="1348" spans="1:9" x14ac:dyDescent="0.35">
      <c r="A1348">
        <v>23</v>
      </c>
      <c r="B1348">
        <v>2017</v>
      </c>
      <c r="C1348">
        <v>2</v>
      </c>
      <c r="D1348" t="s">
        <v>175</v>
      </c>
      <c r="E1348" t="s">
        <v>348</v>
      </c>
      <c r="F1348" t="s">
        <v>43</v>
      </c>
      <c r="G1348" t="s">
        <v>57</v>
      </c>
      <c r="H1348" s="4">
        <v>12</v>
      </c>
      <c r="I1348" t="str">
        <f t="shared" si="21"/>
        <v>Cynoscion virescensSeatrout</v>
      </c>
    </row>
    <row r="1349" spans="1:9" x14ac:dyDescent="0.35">
      <c r="A1349">
        <v>23</v>
      </c>
      <c r="B1349">
        <v>2017</v>
      </c>
      <c r="C1349">
        <v>2</v>
      </c>
      <c r="D1349" t="s">
        <v>175</v>
      </c>
      <c r="E1349" t="s">
        <v>348</v>
      </c>
      <c r="F1349" t="s">
        <v>43</v>
      </c>
      <c r="G1349" t="s">
        <v>57</v>
      </c>
      <c r="H1349" s="4">
        <v>12</v>
      </c>
      <c r="I1349" t="str">
        <f t="shared" si="21"/>
        <v>Cynoscion virescensSeatrout</v>
      </c>
    </row>
    <row r="1350" spans="1:9" x14ac:dyDescent="0.35">
      <c r="A1350">
        <v>23</v>
      </c>
      <c r="B1350">
        <v>2017</v>
      </c>
      <c r="C1350">
        <v>2</v>
      </c>
      <c r="D1350" t="s">
        <v>175</v>
      </c>
      <c r="E1350" t="s">
        <v>348</v>
      </c>
      <c r="F1350" t="s">
        <v>43</v>
      </c>
      <c r="G1350" t="s">
        <v>57</v>
      </c>
      <c r="H1350" s="4">
        <v>10</v>
      </c>
      <c r="I1350" t="str">
        <f t="shared" si="21"/>
        <v>Cynoscion virescensSeatrout</v>
      </c>
    </row>
    <row r="1351" spans="1:9" x14ac:dyDescent="0.35">
      <c r="A1351">
        <v>24</v>
      </c>
      <c r="B1351">
        <v>2017</v>
      </c>
      <c r="C1351">
        <v>2</v>
      </c>
      <c r="D1351" t="s">
        <v>174</v>
      </c>
      <c r="E1351" t="s">
        <v>348</v>
      </c>
      <c r="F1351" t="s">
        <v>40</v>
      </c>
      <c r="G1351" t="s">
        <v>35</v>
      </c>
      <c r="H1351" s="4">
        <v>17</v>
      </c>
      <c r="I1351" t="str">
        <f t="shared" si="21"/>
        <v>Macrodon ancylodonBangamary</v>
      </c>
    </row>
    <row r="1352" spans="1:9" x14ac:dyDescent="0.35">
      <c r="A1352">
        <v>24</v>
      </c>
      <c r="B1352">
        <v>2017</v>
      </c>
      <c r="C1352">
        <v>2</v>
      </c>
      <c r="D1352" t="s">
        <v>174</v>
      </c>
      <c r="E1352" t="s">
        <v>348</v>
      </c>
      <c r="F1352" t="s">
        <v>40</v>
      </c>
      <c r="G1352" t="s">
        <v>35</v>
      </c>
      <c r="H1352" s="4">
        <v>23</v>
      </c>
      <c r="I1352" t="str">
        <f t="shared" si="21"/>
        <v>Macrodon ancylodonBangamary</v>
      </c>
    </row>
    <row r="1353" spans="1:9" x14ac:dyDescent="0.35">
      <c r="A1353">
        <v>24</v>
      </c>
      <c r="B1353">
        <v>2017</v>
      </c>
      <c r="C1353">
        <v>2</v>
      </c>
      <c r="D1353" t="s">
        <v>174</v>
      </c>
      <c r="E1353" t="s">
        <v>348</v>
      </c>
      <c r="F1353" t="s">
        <v>40</v>
      </c>
      <c r="G1353" t="s">
        <v>35</v>
      </c>
      <c r="H1353" s="4">
        <v>24</v>
      </c>
      <c r="I1353" t="str">
        <f t="shared" si="21"/>
        <v>Macrodon ancylodonBangamary</v>
      </c>
    </row>
    <row r="1354" spans="1:9" x14ac:dyDescent="0.35">
      <c r="A1354">
        <v>24</v>
      </c>
      <c r="B1354">
        <v>2017</v>
      </c>
      <c r="C1354">
        <v>2</v>
      </c>
      <c r="D1354" t="s">
        <v>174</v>
      </c>
      <c r="E1354" t="s">
        <v>348</v>
      </c>
      <c r="F1354" t="s">
        <v>40</v>
      </c>
      <c r="G1354" t="s">
        <v>35</v>
      </c>
      <c r="H1354" s="4">
        <v>19</v>
      </c>
      <c r="I1354" t="str">
        <f t="shared" si="21"/>
        <v>Macrodon ancylodonBangamary</v>
      </c>
    </row>
    <row r="1355" spans="1:9" x14ac:dyDescent="0.35">
      <c r="A1355">
        <v>24</v>
      </c>
      <c r="B1355">
        <v>2017</v>
      </c>
      <c r="C1355">
        <v>2</v>
      </c>
      <c r="D1355" t="s">
        <v>174</v>
      </c>
      <c r="E1355" t="s">
        <v>348</v>
      </c>
      <c r="F1355" t="s">
        <v>40</v>
      </c>
      <c r="G1355" t="s">
        <v>35</v>
      </c>
      <c r="H1355" s="4">
        <v>20</v>
      </c>
      <c r="I1355" t="str">
        <f t="shared" si="21"/>
        <v>Macrodon ancylodonBangamary</v>
      </c>
    </row>
    <row r="1356" spans="1:9" x14ac:dyDescent="0.35">
      <c r="A1356">
        <v>24</v>
      </c>
      <c r="B1356">
        <v>2017</v>
      </c>
      <c r="C1356">
        <v>2</v>
      </c>
      <c r="D1356" t="s">
        <v>174</v>
      </c>
      <c r="E1356" t="s">
        <v>348</v>
      </c>
      <c r="F1356" t="s">
        <v>40</v>
      </c>
      <c r="G1356" t="s">
        <v>35</v>
      </c>
      <c r="H1356" s="4">
        <v>20</v>
      </c>
      <c r="I1356" t="str">
        <f t="shared" si="21"/>
        <v>Macrodon ancylodonBangamary</v>
      </c>
    </row>
    <row r="1357" spans="1:9" x14ac:dyDescent="0.35">
      <c r="A1357">
        <v>24</v>
      </c>
      <c r="B1357">
        <v>2017</v>
      </c>
      <c r="C1357">
        <v>2</v>
      </c>
      <c r="D1357" t="s">
        <v>174</v>
      </c>
      <c r="E1357" t="s">
        <v>348</v>
      </c>
      <c r="F1357" t="s">
        <v>40</v>
      </c>
      <c r="G1357" t="s">
        <v>35</v>
      </c>
      <c r="H1357" s="4">
        <v>23</v>
      </c>
      <c r="I1357" t="str">
        <f t="shared" si="21"/>
        <v>Macrodon ancylodonBangamary</v>
      </c>
    </row>
    <row r="1358" spans="1:9" x14ac:dyDescent="0.35">
      <c r="A1358">
        <v>24</v>
      </c>
      <c r="B1358">
        <v>2017</v>
      </c>
      <c r="C1358">
        <v>2</v>
      </c>
      <c r="D1358" t="s">
        <v>174</v>
      </c>
      <c r="E1358" t="s">
        <v>348</v>
      </c>
      <c r="F1358" t="s">
        <v>40</v>
      </c>
      <c r="G1358" t="s">
        <v>35</v>
      </c>
      <c r="H1358" s="4">
        <v>20</v>
      </c>
      <c r="I1358" t="str">
        <f t="shared" si="21"/>
        <v>Macrodon ancylodonBangamary</v>
      </c>
    </row>
    <row r="1359" spans="1:9" x14ac:dyDescent="0.35">
      <c r="A1359">
        <v>24</v>
      </c>
      <c r="B1359">
        <v>2017</v>
      </c>
      <c r="C1359">
        <v>2</v>
      </c>
      <c r="D1359" t="s">
        <v>174</v>
      </c>
      <c r="E1359" t="s">
        <v>348</v>
      </c>
      <c r="F1359" t="s">
        <v>40</v>
      </c>
      <c r="G1359" t="s">
        <v>35</v>
      </c>
      <c r="H1359" s="4">
        <v>20</v>
      </c>
      <c r="I1359" t="str">
        <f t="shared" si="21"/>
        <v>Macrodon ancylodonBangamary</v>
      </c>
    </row>
    <row r="1360" spans="1:9" x14ac:dyDescent="0.35">
      <c r="A1360">
        <v>24</v>
      </c>
      <c r="B1360">
        <v>2017</v>
      </c>
      <c r="C1360">
        <v>2</v>
      </c>
      <c r="D1360" t="s">
        <v>174</v>
      </c>
      <c r="E1360" t="s">
        <v>348</v>
      </c>
      <c r="F1360" t="s">
        <v>40</v>
      </c>
      <c r="G1360" t="s">
        <v>35</v>
      </c>
      <c r="H1360" s="4">
        <v>23</v>
      </c>
      <c r="I1360" t="str">
        <f t="shared" si="21"/>
        <v>Macrodon ancylodonBangamary</v>
      </c>
    </row>
    <row r="1361" spans="1:9" x14ac:dyDescent="0.35">
      <c r="A1361">
        <v>24</v>
      </c>
      <c r="B1361">
        <v>2017</v>
      </c>
      <c r="C1361">
        <v>2</v>
      </c>
      <c r="D1361" t="s">
        <v>174</v>
      </c>
      <c r="E1361" t="s">
        <v>348</v>
      </c>
      <c r="F1361" t="s">
        <v>40</v>
      </c>
      <c r="G1361" t="s">
        <v>35</v>
      </c>
      <c r="H1361" s="4">
        <v>24</v>
      </c>
      <c r="I1361" t="str">
        <f t="shared" si="21"/>
        <v>Macrodon ancylodonBangamary</v>
      </c>
    </row>
    <row r="1362" spans="1:9" x14ac:dyDescent="0.35">
      <c r="A1362">
        <v>24</v>
      </c>
      <c r="B1362">
        <v>2017</v>
      </c>
      <c r="C1362">
        <v>2</v>
      </c>
      <c r="D1362" t="s">
        <v>174</v>
      </c>
      <c r="E1362" t="s">
        <v>348</v>
      </c>
      <c r="F1362" t="s">
        <v>40</v>
      </c>
      <c r="G1362" t="s">
        <v>35</v>
      </c>
      <c r="H1362" s="4">
        <v>20</v>
      </c>
      <c r="I1362" t="str">
        <f t="shared" si="21"/>
        <v>Macrodon ancylodonBangamary</v>
      </c>
    </row>
    <row r="1363" spans="1:9" x14ac:dyDescent="0.35">
      <c r="A1363">
        <v>24</v>
      </c>
      <c r="B1363">
        <v>2017</v>
      </c>
      <c r="C1363">
        <v>2</v>
      </c>
      <c r="D1363" t="s">
        <v>174</v>
      </c>
      <c r="E1363" t="s">
        <v>348</v>
      </c>
      <c r="F1363" t="s">
        <v>40</v>
      </c>
      <c r="G1363" t="s">
        <v>35</v>
      </c>
      <c r="H1363" s="4">
        <v>25</v>
      </c>
      <c r="I1363" t="str">
        <f t="shared" si="21"/>
        <v>Macrodon ancylodonBangamary</v>
      </c>
    </row>
    <row r="1364" spans="1:9" x14ac:dyDescent="0.35">
      <c r="A1364">
        <v>24</v>
      </c>
      <c r="B1364">
        <v>2017</v>
      </c>
      <c r="C1364">
        <v>2</v>
      </c>
      <c r="D1364" t="s">
        <v>174</v>
      </c>
      <c r="E1364" t="s">
        <v>348</v>
      </c>
      <c r="F1364" t="s">
        <v>40</v>
      </c>
      <c r="G1364" t="s">
        <v>35</v>
      </c>
      <c r="H1364" s="4">
        <v>22</v>
      </c>
      <c r="I1364" t="str">
        <f t="shared" si="21"/>
        <v>Macrodon ancylodonBangamary</v>
      </c>
    </row>
    <row r="1365" spans="1:9" x14ac:dyDescent="0.35">
      <c r="A1365">
        <v>24</v>
      </c>
      <c r="B1365">
        <v>2017</v>
      </c>
      <c r="C1365">
        <v>2</v>
      </c>
      <c r="D1365" t="s">
        <v>174</v>
      </c>
      <c r="E1365" t="s">
        <v>348</v>
      </c>
      <c r="F1365" t="s">
        <v>40</v>
      </c>
      <c r="G1365" t="s">
        <v>35</v>
      </c>
      <c r="H1365" s="4">
        <v>23</v>
      </c>
      <c r="I1365" t="str">
        <f t="shared" si="21"/>
        <v>Macrodon ancylodonBangamary</v>
      </c>
    </row>
    <row r="1366" spans="1:9" x14ac:dyDescent="0.35">
      <c r="A1366">
        <v>24</v>
      </c>
      <c r="B1366">
        <v>2017</v>
      </c>
      <c r="C1366">
        <v>2</v>
      </c>
      <c r="D1366" t="s">
        <v>174</v>
      </c>
      <c r="E1366" t="s">
        <v>348</v>
      </c>
      <c r="F1366" t="s">
        <v>40</v>
      </c>
      <c r="G1366" t="s">
        <v>35</v>
      </c>
      <c r="H1366" s="4">
        <v>22</v>
      </c>
      <c r="I1366" t="str">
        <f t="shared" si="21"/>
        <v>Macrodon ancylodonBangamary</v>
      </c>
    </row>
    <row r="1367" spans="1:9" x14ac:dyDescent="0.35">
      <c r="A1367">
        <v>24</v>
      </c>
      <c r="B1367">
        <v>2017</v>
      </c>
      <c r="C1367">
        <v>2</v>
      </c>
      <c r="D1367" t="s">
        <v>174</v>
      </c>
      <c r="E1367" t="s">
        <v>348</v>
      </c>
      <c r="F1367" t="s">
        <v>40</v>
      </c>
      <c r="G1367" t="s">
        <v>35</v>
      </c>
      <c r="H1367" s="4">
        <v>20</v>
      </c>
      <c r="I1367" t="str">
        <f t="shared" si="21"/>
        <v>Macrodon ancylodonBangamary</v>
      </c>
    </row>
    <row r="1368" spans="1:9" x14ac:dyDescent="0.35">
      <c r="A1368">
        <v>24</v>
      </c>
      <c r="B1368">
        <v>2017</v>
      </c>
      <c r="C1368">
        <v>2</v>
      </c>
      <c r="D1368" t="s">
        <v>174</v>
      </c>
      <c r="E1368" t="s">
        <v>348</v>
      </c>
      <c r="F1368" t="s">
        <v>40</v>
      </c>
      <c r="G1368" t="s">
        <v>35</v>
      </c>
      <c r="H1368" s="4">
        <v>20</v>
      </c>
      <c r="I1368" t="str">
        <f t="shared" si="21"/>
        <v>Macrodon ancylodonBangamary</v>
      </c>
    </row>
    <row r="1369" spans="1:9" x14ac:dyDescent="0.35">
      <c r="A1369">
        <v>24</v>
      </c>
      <c r="B1369">
        <v>2017</v>
      </c>
      <c r="C1369">
        <v>2</v>
      </c>
      <c r="D1369" t="s">
        <v>174</v>
      </c>
      <c r="E1369" t="s">
        <v>348</v>
      </c>
      <c r="F1369" t="s">
        <v>40</v>
      </c>
      <c r="G1369" t="s">
        <v>35</v>
      </c>
      <c r="H1369" s="4">
        <v>19</v>
      </c>
      <c r="I1369" t="str">
        <f t="shared" si="21"/>
        <v>Macrodon ancylodonBangamary</v>
      </c>
    </row>
    <row r="1370" spans="1:9" x14ac:dyDescent="0.35">
      <c r="A1370">
        <v>24</v>
      </c>
      <c r="B1370">
        <v>2017</v>
      </c>
      <c r="C1370">
        <v>2</v>
      </c>
      <c r="D1370" t="s">
        <v>174</v>
      </c>
      <c r="E1370" t="s">
        <v>348</v>
      </c>
      <c r="F1370" t="s">
        <v>40</v>
      </c>
      <c r="G1370" t="s">
        <v>35</v>
      </c>
      <c r="H1370" s="4">
        <v>22</v>
      </c>
      <c r="I1370" t="str">
        <f t="shared" si="21"/>
        <v>Macrodon ancylodonBangamary</v>
      </c>
    </row>
    <row r="1371" spans="1:9" x14ac:dyDescent="0.35">
      <c r="A1371">
        <v>24</v>
      </c>
      <c r="B1371">
        <v>2017</v>
      </c>
      <c r="C1371">
        <v>2</v>
      </c>
      <c r="D1371" t="s">
        <v>174</v>
      </c>
      <c r="E1371" t="s">
        <v>348</v>
      </c>
      <c r="F1371" t="s">
        <v>40</v>
      </c>
      <c r="G1371" t="s">
        <v>35</v>
      </c>
      <c r="H1371" s="4">
        <v>18</v>
      </c>
      <c r="I1371" t="str">
        <f t="shared" si="21"/>
        <v>Macrodon ancylodonBangamary</v>
      </c>
    </row>
    <row r="1372" spans="1:9" x14ac:dyDescent="0.35">
      <c r="A1372">
        <v>24</v>
      </c>
      <c r="B1372">
        <v>2017</v>
      </c>
      <c r="C1372">
        <v>2</v>
      </c>
      <c r="D1372" t="s">
        <v>174</v>
      </c>
      <c r="E1372" t="s">
        <v>348</v>
      </c>
      <c r="F1372" t="s">
        <v>40</v>
      </c>
      <c r="G1372" t="s">
        <v>35</v>
      </c>
      <c r="H1372" s="4">
        <v>18</v>
      </c>
      <c r="I1372" t="str">
        <f t="shared" si="21"/>
        <v>Macrodon ancylodonBangamary</v>
      </c>
    </row>
    <row r="1373" spans="1:9" x14ac:dyDescent="0.35">
      <c r="A1373">
        <v>24</v>
      </c>
      <c r="B1373">
        <v>2017</v>
      </c>
      <c r="C1373">
        <v>2</v>
      </c>
      <c r="D1373" t="s">
        <v>174</v>
      </c>
      <c r="E1373" t="s">
        <v>348</v>
      </c>
      <c r="F1373" t="s">
        <v>40</v>
      </c>
      <c r="G1373" t="s">
        <v>35</v>
      </c>
      <c r="H1373" s="4">
        <v>22</v>
      </c>
      <c r="I1373" t="str">
        <f t="shared" si="21"/>
        <v>Macrodon ancylodonBangamary</v>
      </c>
    </row>
    <row r="1374" spans="1:9" x14ac:dyDescent="0.35">
      <c r="A1374">
        <v>24</v>
      </c>
      <c r="B1374">
        <v>2017</v>
      </c>
      <c r="C1374">
        <v>2</v>
      </c>
      <c r="D1374" t="s">
        <v>174</v>
      </c>
      <c r="E1374" t="s">
        <v>348</v>
      </c>
      <c r="F1374" t="s">
        <v>40</v>
      </c>
      <c r="G1374" t="s">
        <v>35</v>
      </c>
      <c r="H1374" s="4">
        <v>29</v>
      </c>
      <c r="I1374" t="str">
        <f t="shared" si="21"/>
        <v>Macrodon ancylodonBangamary</v>
      </c>
    </row>
    <row r="1375" spans="1:9" x14ac:dyDescent="0.35">
      <c r="A1375">
        <v>24</v>
      </c>
      <c r="B1375">
        <v>2017</v>
      </c>
      <c r="C1375">
        <v>2</v>
      </c>
      <c r="D1375" t="s">
        <v>174</v>
      </c>
      <c r="E1375" t="s">
        <v>348</v>
      </c>
      <c r="F1375" t="s">
        <v>40</v>
      </c>
      <c r="G1375" t="s">
        <v>35</v>
      </c>
      <c r="H1375" s="4">
        <v>22</v>
      </c>
      <c r="I1375" t="str">
        <f t="shared" si="21"/>
        <v>Macrodon ancylodonBangamary</v>
      </c>
    </row>
    <row r="1376" spans="1:9" x14ac:dyDescent="0.35">
      <c r="A1376">
        <v>24</v>
      </c>
      <c r="B1376">
        <v>2017</v>
      </c>
      <c r="C1376">
        <v>2</v>
      </c>
      <c r="D1376" t="s">
        <v>174</v>
      </c>
      <c r="E1376" t="s">
        <v>348</v>
      </c>
      <c r="F1376" t="s">
        <v>40</v>
      </c>
      <c r="G1376" t="s">
        <v>35</v>
      </c>
      <c r="H1376" s="4">
        <v>18</v>
      </c>
      <c r="I1376" t="str">
        <f t="shared" si="21"/>
        <v>Macrodon ancylodonBangamary</v>
      </c>
    </row>
    <row r="1377" spans="1:9" x14ac:dyDescent="0.35">
      <c r="A1377">
        <v>24</v>
      </c>
      <c r="B1377">
        <v>2017</v>
      </c>
      <c r="C1377">
        <v>2</v>
      </c>
      <c r="D1377" t="s">
        <v>174</v>
      </c>
      <c r="E1377" t="s">
        <v>348</v>
      </c>
      <c r="F1377" t="s">
        <v>40</v>
      </c>
      <c r="G1377" t="s">
        <v>35</v>
      </c>
      <c r="H1377" s="4">
        <v>25</v>
      </c>
      <c r="I1377" t="str">
        <f t="shared" si="21"/>
        <v>Macrodon ancylodonBangamary</v>
      </c>
    </row>
    <row r="1378" spans="1:9" x14ac:dyDescent="0.35">
      <c r="A1378">
        <v>24</v>
      </c>
      <c r="B1378">
        <v>2017</v>
      </c>
      <c r="C1378">
        <v>2</v>
      </c>
      <c r="D1378" t="s">
        <v>174</v>
      </c>
      <c r="E1378" t="s">
        <v>348</v>
      </c>
      <c r="F1378" t="s">
        <v>40</v>
      </c>
      <c r="G1378" t="s">
        <v>35</v>
      </c>
      <c r="H1378" s="4">
        <v>25</v>
      </c>
      <c r="I1378" t="str">
        <f t="shared" si="21"/>
        <v>Macrodon ancylodonBangamary</v>
      </c>
    </row>
    <row r="1379" spans="1:9" x14ac:dyDescent="0.35">
      <c r="A1379">
        <v>24</v>
      </c>
      <c r="B1379">
        <v>2017</v>
      </c>
      <c r="C1379">
        <v>2</v>
      </c>
      <c r="D1379" t="s">
        <v>174</v>
      </c>
      <c r="E1379" t="s">
        <v>348</v>
      </c>
      <c r="F1379" t="s">
        <v>40</v>
      </c>
      <c r="G1379" t="s">
        <v>35</v>
      </c>
      <c r="H1379" s="4">
        <v>20</v>
      </c>
      <c r="I1379" t="str">
        <f t="shared" si="21"/>
        <v>Macrodon ancylodonBangamary</v>
      </c>
    </row>
    <row r="1380" spans="1:9" x14ac:dyDescent="0.35">
      <c r="A1380">
        <v>24</v>
      </c>
      <c r="B1380">
        <v>2017</v>
      </c>
      <c r="C1380">
        <v>2</v>
      </c>
      <c r="D1380" t="s">
        <v>174</v>
      </c>
      <c r="E1380" t="s">
        <v>348</v>
      </c>
      <c r="F1380" t="s">
        <v>40</v>
      </c>
      <c r="G1380" t="s">
        <v>35</v>
      </c>
      <c r="H1380" s="4">
        <v>20</v>
      </c>
      <c r="I1380" t="str">
        <f t="shared" si="21"/>
        <v>Macrodon ancylodonBangamary</v>
      </c>
    </row>
    <row r="1381" spans="1:9" x14ac:dyDescent="0.35">
      <c r="A1381">
        <v>24</v>
      </c>
      <c r="B1381">
        <v>2017</v>
      </c>
      <c r="C1381">
        <v>2</v>
      </c>
      <c r="D1381" t="s">
        <v>174</v>
      </c>
      <c r="E1381" t="s">
        <v>348</v>
      </c>
      <c r="F1381" t="s">
        <v>58</v>
      </c>
      <c r="G1381" t="s">
        <v>59</v>
      </c>
      <c r="H1381" s="4">
        <v>17</v>
      </c>
      <c r="I1381" t="str">
        <f t="shared" si="21"/>
        <v>Stellifer rastriferRockhead</v>
      </c>
    </row>
    <row r="1382" spans="1:9" x14ac:dyDescent="0.35">
      <c r="A1382">
        <v>24</v>
      </c>
      <c r="B1382">
        <v>2017</v>
      </c>
      <c r="C1382">
        <v>2</v>
      </c>
      <c r="D1382" t="s">
        <v>174</v>
      </c>
      <c r="E1382" t="s">
        <v>348</v>
      </c>
      <c r="F1382" t="s">
        <v>58</v>
      </c>
      <c r="G1382" t="s">
        <v>59</v>
      </c>
      <c r="H1382" s="4">
        <v>14</v>
      </c>
      <c r="I1382" t="str">
        <f t="shared" si="21"/>
        <v>Stellifer rastriferRockhead</v>
      </c>
    </row>
    <row r="1383" spans="1:9" x14ac:dyDescent="0.35">
      <c r="A1383">
        <v>24</v>
      </c>
      <c r="B1383">
        <v>2017</v>
      </c>
      <c r="C1383">
        <v>2</v>
      </c>
      <c r="D1383" t="s">
        <v>174</v>
      </c>
      <c r="E1383" t="s">
        <v>348</v>
      </c>
      <c r="F1383" t="s">
        <v>58</v>
      </c>
      <c r="G1383" t="s">
        <v>59</v>
      </c>
      <c r="H1383" s="4">
        <v>15</v>
      </c>
      <c r="I1383" t="str">
        <f t="shared" si="21"/>
        <v>Stellifer rastriferRockhead</v>
      </c>
    </row>
    <row r="1384" spans="1:9" x14ac:dyDescent="0.35">
      <c r="A1384">
        <v>24</v>
      </c>
      <c r="B1384">
        <v>2017</v>
      </c>
      <c r="C1384">
        <v>2</v>
      </c>
      <c r="D1384" t="s">
        <v>174</v>
      </c>
      <c r="E1384" t="s">
        <v>348</v>
      </c>
      <c r="F1384" t="s">
        <v>58</v>
      </c>
      <c r="G1384" t="s">
        <v>59</v>
      </c>
      <c r="H1384" s="4">
        <v>10</v>
      </c>
      <c r="I1384" t="str">
        <f t="shared" si="21"/>
        <v>Stellifer rastriferRockhead</v>
      </c>
    </row>
    <row r="1385" spans="1:9" x14ac:dyDescent="0.35">
      <c r="A1385">
        <v>24</v>
      </c>
      <c r="B1385">
        <v>2017</v>
      </c>
      <c r="C1385">
        <v>2</v>
      </c>
      <c r="D1385" t="s">
        <v>174</v>
      </c>
      <c r="E1385" t="s">
        <v>348</v>
      </c>
      <c r="F1385" t="s">
        <v>58</v>
      </c>
      <c r="G1385" t="s">
        <v>59</v>
      </c>
      <c r="H1385" s="4">
        <v>13</v>
      </c>
      <c r="I1385" t="str">
        <f t="shared" si="21"/>
        <v>Stellifer rastriferRockhead</v>
      </c>
    </row>
    <row r="1386" spans="1:9" x14ac:dyDescent="0.35">
      <c r="A1386">
        <v>24</v>
      </c>
      <c r="B1386">
        <v>2017</v>
      </c>
      <c r="C1386">
        <v>2</v>
      </c>
      <c r="D1386" t="s">
        <v>174</v>
      </c>
      <c r="E1386" t="s">
        <v>348</v>
      </c>
      <c r="F1386" t="s">
        <v>58</v>
      </c>
      <c r="G1386" t="s">
        <v>59</v>
      </c>
      <c r="H1386" s="4">
        <v>13</v>
      </c>
      <c r="I1386" t="str">
        <f t="shared" si="21"/>
        <v>Stellifer rastriferRockhead</v>
      </c>
    </row>
    <row r="1387" spans="1:9" x14ac:dyDescent="0.35">
      <c r="A1387">
        <v>24</v>
      </c>
      <c r="B1387">
        <v>2017</v>
      </c>
      <c r="C1387">
        <v>2</v>
      </c>
      <c r="D1387" t="s">
        <v>174</v>
      </c>
      <c r="E1387" t="s">
        <v>348</v>
      </c>
      <c r="F1387" t="s">
        <v>58</v>
      </c>
      <c r="G1387" t="s">
        <v>59</v>
      </c>
      <c r="H1387" s="4">
        <v>14</v>
      </c>
      <c r="I1387" t="str">
        <f t="shared" si="21"/>
        <v>Stellifer rastriferRockhead</v>
      </c>
    </row>
    <row r="1388" spans="1:9" x14ac:dyDescent="0.35">
      <c r="A1388">
        <v>24</v>
      </c>
      <c r="B1388">
        <v>2017</v>
      </c>
      <c r="C1388">
        <v>2</v>
      </c>
      <c r="D1388" t="s">
        <v>174</v>
      </c>
      <c r="E1388" t="s">
        <v>348</v>
      </c>
      <c r="F1388" t="s">
        <v>58</v>
      </c>
      <c r="G1388" t="s">
        <v>59</v>
      </c>
      <c r="H1388" s="4">
        <v>14</v>
      </c>
      <c r="I1388" t="str">
        <f t="shared" si="21"/>
        <v>Stellifer rastriferRockhead</v>
      </c>
    </row>
    <row r="1389" spans="1:9" x14ac:dyDescent="0.35">
      <c r="A1389">
        <v>24</v>
      </c>
      <c r="B1389">
        <v>2017</v>
      </c>
      <c r="C1389">
        <v>2</v>
      </c>
      <c r="D1389" t="s">
        <v>174</v>
      </c>
      <c r="E1389" t="s">
        <v>348</v>
      </c>
      <c r="F1389" t="s">
        <v>58</v>
      </c>
      <c r="G1389" t="s">
        <v>59</v>
      </c>
      <c r="H1389" s="4">
        <v>13</v>
      </c>
      <c r="I1389" t="str">
        <f t="shared" si="21"/>
        <v>Stellifer rastriferRockhead</v>
      </c>
    </row>
    <row r="1390" spans="1:9" x14ac:dyDescent="0.35">
      <c r="A1390">
        <v>24</v>
      </c>
      <c r="B1390">
        <v>2017</v>
      </c>
      <c r="C1390">
        <v>2</v>
      </c>
      <c r="D1390" t="s">
        <v>174</v>
      </c>
      <c r="E1390" t="s">
        <v>348</v>
      </c>
      <c r="F1390" t="s">
        <v>58</v>
      </c>
      <c r="G1390" t="s">
        <v>59</v>
      </c>
      <c r="H1390" s="4">
        <v>13</v>
      </c>
      <c r="I1390" t="str">
        <f t="shared" si="21"/>
        <v>Stellifer rastriferRockhead</v>
      </c>
    </row>
    <row r="1391" spans="1:9" x14ac:dyDescent="0.35">
      <c r="A1391">
        <v>24</v>
      </c>
      <c r="B1391">
        <v>2017</v>
      </c>
      <c r="C1391">
        <v>2</v>
      </c>
      <c r="D1391" t="s">
        <v>174</v>
      </c>
      <c r="E1391" t="s">
        <v>348</v>
      </c>
      <c r="F1391" t="s">
        <v>58</v>
      </c>
      <c r="G1391" t="s">
        <v>59</v>
      </c>
      <c r="H1391" s="4">
        <v>10</v>
      </c>
      <c r="I1391" t="str">
        <f t="shared" si="21"/>
        <v>Stellifer rastriferRockhead</v>
      </c>
    </row>
    <row r="1392" spans="1:9" x14ac:dyDescent="0.35">
      <c r="A1392">
        <v>24</v>
      </c>
      <c r="B1392">
        <v>2017</v>
      </c>
      <c r="C1392">
        <v>2</v>
      </c>
      <c r="D1392" t="s">
        <v>174</v>
      </c>
      <c r="E1392" t="s">
        <v>348</v>
      </c>
      <c r="F1392" t="s">
        <v>58</v>
      </c>
      <c r="G1392" t="s">
        <v>59</v>
      </c>
      <c r="H1392" s="4">
        <v>13</v>
      </c>
      <c r="I1392" t="str">
        <f t="shared" si="21"/>
        <v>Stellifer rastriferRockhead</v>
      </c>
    </row>
    <row r="1393" spans="1:9" x14ac:dyDescent="0.35">
      <c r="A1393">
        <v>24</v>
      </c>
      <c r="B1393">
        <v>2017</v>
      </c>
      <c r="C1393">
        <v>2</v>
      </c>
      <c r="D1393" t="s">
        <v>174</v>
      </c>
      <c r="E1393" t="s">
        <v>348</v>
      </c>
      <c r="F1393" t="s">
        <v>58</v>
      </c>
      <c r="G1393" t="s">
        <v>59</v>
      </c>
      <c r="H1393" s="4">
        <v>14</v>
      </c>
      <c r="I1393" t="str">
        <f t="shared" si="21"/>
        <v>Stellifer rastriferRockhead</v>
      </c>
    </row>
    <row r="1394" spans="1:9" x14ac:dyDescent="0.35">
      <c r="A1394">
        <v>24</v>
      </c>
      <c r="B1394">
        <v>2017</v>
      </c>
      <c r="C1394">
        <v>2</v>
      </c>
      <c r="D1394" t="s">
        <v>174</v>
      </c>
      <c r="E1394" t="s">
        <v>348</v>
      </c>
      <c r="F1394" t="s">
        <v>58</v>
      </c>
      <c r="G1394" t="s">
        <v>59</v>
      </c>
      <c r="H1394" s="4">
        <v>13</v>
      </c>
      <c r="I1394" t="str">
        <f t="shared" si="21"/>
        <v>Stellifer rastriferRockhead</v>
      </c>
    </row>
    <row r="1395" spans="1:9" x14ac:dyDescent="0.35">
      <c r="A1395">
        <v>24</v>
      </c>
      <c r="B1395">
        <v>2017</v>
      </c>
      <c r="C1395">
        <v>2</v>
      </c>
      <c r="D1395" t="s">
        <v>174</v>
      </c>
      <c r="E1395" t="s">
        <v>348</v>
      </c>
      <c r="F1395" t="s">
        <v>58</v>
      </c>
      <c r="G1395" t="s">
        <v>59</v>
      </c>
      <c r="H1395" s="4">
        <v>15</v>
      </c>
      <c r="I1395" t="str">
        <f t="shared" si="21"/>
        <v>Stellifer rastriferRockhead</v>
      </c>
    </row>
    <row r="1396" spans="1:9" x14ac:dyDescent="0.35">
      <c r="A1396">
        <v>24</v>
      </c>
      <c r="B1396">
        <v>2017</v>
      </c>
      <c r="C1396">
        <v>2</v>
      </c>
      <c r="D1396" t="s">
        <v>174</v>
      </c>
      <c r="E1396" t="s">
        <v>348</v>
      </c>
      <c r="F1396" t="s">
        <v>58</v>
      </c>
      <c r="G1396" t="s">
        <v>59</v>
      </c>
      <c r="H1396" s="4">
        <v>15</v>
      </c>
      <c r="I1396" t="str">
        <f t="shared" si="21"/>
        <v>Stellifer rastriferRockhead</v>
      </c>
    </row>
    <row r="1397" spans="1:9" x14ac:dyDescent="0.35">
      <c r="A1397">
        <v>24</v>
      </c>
      <c r="B1397">
        <v>2017</v>
      </c>
      <c r="C1397">
        <v>2</v>
      </c>
      <c r="D1397" t="s">
        <v>174</v>
      </c>
      <c r="E1397" t="s">
        <v>348</v>
      </c>
      <c r="F1397" t="s">
        <v>58</v>
      </c>
      <c r="G1397" t="s">
        <v>59</v>
      </c>
      <c r="H1397" s="4">
        <v>14</v>
      </c>
      <c r="I1397" t="str">
        <f t="shared" si="21"/>
        <v>Stellifer rastriferRockhead</v>
      </c>
    </row>
    <row r="1398" spans="1:9" x14ac:dyDescent="0.35">
      <c r="A1398">
        <v>24</v>
      </c>
      <c r="B1398">
        <v>2017</v>
      </c>
      <c r="C1398">
        <v>2</v>
      </c>
      <c r="D1398" t="s">
        <v>174</v>
      </c>
      <c r="E1398" t="s">
        <v>348</v>
      </c>
      <c r="F1398" t="s">
        <v>58</v>
      </c>
      <c r="G1398" t="s">
        <v>59</v>
      </c>
      <c r="H1398" s="4">
        <v>14</v>
      </c>
      <c r="I1398" t="str">
        <f t="shared" si="21"/>
        <v>Stellifer rastriferRockhead</v>
      </c>
    </row>
    <row r="1399" spans="1:9" x14ac:dyDescent="0.35">
      <c r="A1399">
        <v>24</v>
      </c>
      <c r="B1399">
        <v>2017</v>
      </c>
      <c r="C1399">
        <v>2</v>
      </c>
      <c r="D1399" t="s">
        <v>174</v>
      </c>
      <c r="E1399" t="s">
        <v>348</v>
      </c>
      <c r="F1399" t="s">
        <v>58</v>
      </c>
      <c r="G1399" t="s">
        <v>59</v>
      </c>
      <c r="H1399" s="4">
        <v>13</v>
      </c>
      <c r="I1399" t="str">
        <f t="shared" si="21"/>
        <v>Stellifer rastriferRockhead</v>
      </c>
    </row>
    <row r="1400" spans="1:9" x14ac:dyDescent="0.35">
      <c r="A1400">
        <v>24</v>
      </c>
      <c r="B1400">
        <v>2017</v>
      </c>
      <c r="C1400">
        <v>2</v>
      </c>
      <c r="D1400" t="s">
        <v>174</v>
      </c>
      <c r="E1400" t="s">
        <v>348</v>
      </c>
      <c r="F1400" t="s">
        <v>58</v>
      </c>
      <c r="G1400" t="s">
        <v>59</v>
      </c>
      <c r="H1400" s="4">
        <v>13</v>
      </c>
      <c r="I1400" t="str">
        <f t="shared" si="21"/>
        <v>Stellifer rastriferRockhead</v>
      </c>
    </row>
    <row r="1401" spans="1:9" x14ac:dyDescent="0.35">
      <c r="A1401">
        <v>24</v>
      </c>
      <c r="B1401">
        <v>2017</v>
      </c>
      <c r="C1401">
        <v>2</v>
      </c>
      <c r="D1401" t="s">
        <v>174</v>
      </c>
      <c r="E1401" t="s">
        <v>348</v>
      </c>
      <c r="F1401" t="s">
        <v>58</v>
      </c>
      <c r="G1401" t="s">
        <v>59</v>
      </c>
      <c r="H1401" s="4">
        <v>11</v>
      </c>
      <c r="I1401" t="str">
        <f t="shared" si="21"/>
        <v>Stellifer rastriferRockhead</v>
      </c>
    </row>
    <row r="1402" spans="1:9" x14ac:dyDescent="0.35">
      <c r="A1402">
        <v>24</v>
      </c>
      <c r="B1402">
        <v>2017</v>
      </c>
      <c r="C1402">
        <v>2</v>
      </c>
      <c r="D1402" t="s">
        <v>174</v>
      </c>
      <c r="E1402" t="s">
        <v>348</v>
      </c>
      <c r="F1402" t="s">
        <v>58</v>
      </c>
      <c r="G1402" t="s">
        <v>59</v>
      </c>
      <c r="H1402" s="4">
        <v>10</v>
      </c>
      <c r="I1402" t="str">
        <f t="shared" si="21"/>
        <v>Stellifer rastriferRockhead</v>
      </c>
    </row>
    <row r="1403" spans="1:9" x14ac:dyDescent="0.35">
      <c r="A1403">
        <v>24</v>
      </c>
      <c r="B1403">
        <v>2017</v>
      </c>
      <c r="C1403">
        <v>2</v>
      </c>
      <c r="D1403" t="s">
        <v>174</v>
      </c>
      <c r="E1403" t="s">
        <v>348</v>
      </c>
      <c r="F1403" t="s">
        <v>58</v>
      </c>
      <c r="G1403" t="s">
        <v>59</v>
      </c>
      <c r="H1403" s="4">
        <v>13</v>
      </c>
      <c r="I1403" t="str">
        <f t="shared" si="21"/>
        <v>Stellifer rastriferRockhead</v>
      </c>
    </row>
    <row r="1404" spans="1:9" x14ac:dyDescent="0.35">
      <c r="A1404">
        <v>24</v>
      </c>
      <c r="B1404">
        <v>2017</v>
      </c>
      <c r="C1404">
        <v>2</v>
      </c>
      <c r="D1404" t="s">
        <v>174</v>
      </c>
      <c r="E1404" t="s">
        <v>348</v>
      </c>
      <c r="F1404" t="s">
        <v>58</v>
      </c>
      <c r="G1404" t="s">
        <v>59</v>
      </c>
      <c r="H1404" s="4">
        <v>11</v>
      </c>
      <c r="I1404" t="str">
        <f t="shared" si="21"/>
        <v>Stellifer rastriferRockhead</v>
      </c>
    </row>
    <row r="1405" spans="1:9" x14ac:dyDescent="0.35">
      <c r="A1405">
        <v>24</v>
      </c>
      <c r="B1405">
        <v>2017</v>
      </c>
      <c r="C1405">
        <v>2</v>
      </c>
      <c r="D1405" t="s">
        <v>174</v>
      </c>
      <c r="E1405" t="s">
        <v>348</v>
      </c>
      <c r="F1405" t="s">
        <v>58</v>
      </c>
      <c r="G1405" t="s">
        <v>59</v>
      </c>
      <c r="H1405" s="4">
        <v>13</v>
      </c>
      <c r="I1405" t="str">
        <f t="shared" si="21"/>
        <v>Stellifer rastriferRockhead</v>
      </c>
    </row>
    <row r="1406" spans="1:9" x14ac:dyDescent="0.35">
      <c r="A1406">
        <v>24</v>
      </c>
      <c r="B1406">
        <v>2017</v>
      </c>
      <c r="C1406">
        <v>2</v>
      </c>
      <c r="D1406" t="s">
        <v>174</v>
      </c>
      <c r="E1406" t="s">
        <v>348</v>
      </c>
      <c r="F1406" t="s">
        <v>58</v>
      </c>
      <c r="G1406" t="s">
        <v>59</v>
      </c>
      <c r="H1406" s="4">
        <v>13</v>
      </c>
      <c r="I1406" t="str">
        <f t="shared" si="21"/>
        <v>Stellifer rastriferRockhead</v>
      </c>
    </row>
    <row r="1407" spans="1:9" x14ac:dyDescent="0.35">
      <c r="A1407">
        <v>24</v>
      </c>
      <c r="B1407">
        <v>2017</v>
      </c>
      <c r="C1407">
        <v>2</v>
      </c>
      <c r="D1407" t="s">
        <v>174</v>
      </c>
      <c r="E1407" t="s">
        <v>348</v>
      </c>
      <c r="F1407" t="s">
        <v>58</v>
      </c>
      <c r="G1407" t="s">
        <v>59</v>
      </c>
      <c r="H1407" s="4">
        <v>13</v>
      </c>
      <c r="I1407" t="str">
        <f t="shared" si="21"/>
        <v>Stellifer rastriferRockhead</v>
      </c>
    </row>
    <row r="1408" spans="1:9" x14ac:dyDescent="0.35">
      <c r="A1408">
        <v>24</v>
      </c>
      <c r="B1408">
        <v>2017</v>
      </c>
      <c r="C1408">
        <v>2</v>
      </c>
      <c r="D1408" t="s">
        <v>174</v>
      </c>
      <c r="E1408" t="s">
        <v>348</v>
      </c>
      <c r="F1408" t="s">
        <v>58</v>
      </c>
      <c r="G1408" t="s">
        <v>59</v>
      </c>
      <c r="H1408" s="4">
        <v>10</v>
      </c>
      <c r="I1408" t="str">
        <f t="shared" si="21"/>
        <v>Stellifer rastriferRockhead</v>
      </c>
    </row>
    <row r="1409" spans="1:9" x14ac:dyDescent="0.35">
      <c r="A1409">
        <v>24</v>
      </c>
      <c r="B1409">
        <v>2017</v>
      </c>
      <c r="C1409">
        <v>2</v>
      </c>
      <c r="D1409" t="s">
        <v>174</v>
      </c>
      <c r="E1409" t="s">
        <v>348</v>
      </c>
      <c r="F1409" t="s">
        <v>58</v>
      </c>
      <c r="G1409" t="s">
        <v>59</v>
      </c>
      <c r="H1409" s="4">
        <v>10</v>
      </c>
      <c r="I1409" t="str">
        <f t="shared" si="21"/>
        <v>Stellifer rastriferRockhead</v>
      </c>
    </row>
    <row r="1410" spans="1:9" x14ac:dyDescent="0.35">
      <c r="A1410">
        <v>24</v>
      </c>
      <c r="B1410">
        <v>2017</v>
      </c>
      <c r="C1410">
        <v>2</v>
      </c>
      <c r="D1410" t="s">
        <v>174</v>
      </c>
      <c r="E1410" t="s">
        <v>348</v>
      </c>
      <c r="F1410" t="s">
        <v>58</v>
      </c>
      <c r="G1410" t="s">
        <v>59</v>
      </c>
      <c r="H1410" s="4">
        <v>10</v>
      </c>
      <c r="I1410" t="str">
        <f t="shared" ref="I1410:I1473" si="22">CONCATENATE(F1410,G1410)</f>
        <v>Stellifer rastriferRockhead</v>
      </c>
    </row>
    <row r="1411" spans="1:9" x14ac:dyDescent="0.35">
      <c r="A1411">
        <v>24</v>
      </c>
      <c r="B1411">
        <v>2017</v>
      </c>
      <c r="C1411">
        <v>2</v>
      </c>
      <c r="D1411" t="s">
        <v>174</v>
      </c>
      <c r="E1411" t="s">
        <v>348</v>
      </c>
      <c r="F1411" t="s">
        <v>43</v>
      </c>
      <c r="G1411" t="s">
        <v>57</v>
      </c>
      <c r="H1411" s="4">
        <v>24</v>
      </c>
      <c r="I1411" t="str">
        <f t="shared" si="22"/>
        <v>Cynoscion virescensSeatrout</v>
      </c>
    </row>
    <row r="1412" spans="1:9" x14ac:dyDescent="0.35">
      <c r="A1412">
        <v>24</v>
      </c>
      <c r="B1412">
        <v>2017</v>
      </c>
      <c r="C1412">
        <v>2</v>
      </c>
      <c r="D1412" t="s">
        <v>174</v>
      </c>
      <c r="E1412" t="s">
        <v>348</v>
      </c>
      <c r="F1412" t="s">
        <v>43</v>
      </c>
      <c r="G1412" t="s">
        <v>57</v>
      </c>
      <c r="H1412" s="4">
        <v>23</v>
      </c>
      <c r="I1412" t="str">
        <f t="shared" si="22"/>
        <v>Cynoscion virescensSeatrout</v>
      </c>
    </row>
    <row r="1413" spans="1:9" x14ac:dyDescent="0.35">
      <c r="A1413">
        <v>24</v>
      </c>
      <c r="B1413">
        <v>2017</v>
      </c>
      <c r="C1413">
        <v>2</v>
      </c>
      <c r="D1413" t="s">
        <v>174</v>
      </c>
      <c r="E1413" t="s">
        <v>348</v>
      </c>
      <c r="F1413" t="s">
        <v>43</v>
      </c>
      <c r="G1413" t="s">
        <v>57</v>
      </c>
      <c r="H1413" s="4">
        <v>23</v>
      </c>
      <c r="I1413" t="str">
        <f t="shared" si="22"/>
        <v>Cynoscion virescensSeatrout</v>
      </c>
    </row>
    <row r="1414" spans="1:9" x14ac:dyDescent="0.35">
      <c r="A1414">
        <v>24</v>
      </c>
      <c r="B1414">
        <v>2017</v>
      </c>
      <c r="C1414">
        <v>2</v>
      </c>
      <c r="D1414" t="s">
        <v>174</v>
      </c>
      <c r="E1414" t="s">
        <v>348</v>
      </c>
      <c r="F1414" t="s">
        <v>43</v>
      </c>
      <c r="G1414" t="s">
        <v>57</v>
      </c>
      <c r="H1414" s="4">
        <v>20</v>
      </c>
      <c r="I1414" t="str">
        <f t="shared" si="22"/>
        <v>Cynoscion virescensSeatrout</v>
      </c>
    </row>
    <row r="1415" spans="1:9" x14ac:dyDescent="0.35">
      <c r="A1415">
        <v>24</v>
      </c>
      <c r="B1415">
        <v>2017</v>
      </c>
      <c r="C1415">
        <v>2</v>
      </c>
      <c r="D1415" t="s">
        <v>174</v>
      </c>
      <c r="E1415" t="s">
        <v>348</v>
      </c>
      <c r="F1415" t="s">
        <v>43</v>
      </c>
      <c r="G1415" t="s">
        <v>57</v>
      </c>
      <c r="H1415" s="4">
        <v>24</v>
      </c>
      <c r="I1415" t="str">
        <f t="shared" si="22"/>
        <v>Cynoscion virescensSeatrout</v>
      </c>
    </row>
    <row r="1416" spans="1:9" x14ac:dyDescent="0.35">
      <c r="A1416">
        <v>24</v>
      </c>
      <c r="B1416">
        <v>2017</v>
      </c>
      <c r="C1416">
        <v>2</v>
      </c>
      <c r="D1416" t="s">
        <v>174</v>
      </c>
      <c r="E1416" t="s">
        <v>348</v>
      </c>
      <c r="F1416" t="s">
        <v>43</v>
      </c>
      <c r="G1416" t="s">
        <v>57</v>
      </c>
      <c r="H1416" s="4">
        <v>22</v>
      </c>
      <c r="I1416" t="str">
        <f t="shared" si="22"/>
        <v>Cynoscion virescensSeatrout</v>
      </c>
    </row>
    <row r="1417" spans="1:9" x14ac:dyDescent="0.35">
      <c r="A1417">
        <v>24</v>
      </c>
      <c r="B1417">
        <v>2017</v>
      </c>
      <c r="C1417">
        <v>2</v>
      </c>
      <c r="D1417" t="s">
        <v>174</v>
      </c>
      <c r="E1417" t="s">
        <v>348</v>
      </c>
      <c r="F1417" t="s">
        <v>43</v>
      </c>
      <c r="G1417" t="s">
        <v>57</v>
      </c>
      <c r="H1417" s="4">
        <v>20</v>
      </c>
      <c r="I1417" t="str">
        <f t="shared" si="22"/>
        <v>Cynoscion virescensSeatrout</v>
      </c>
    </row>
    <row r="1418" spans="1:9" x14ac:dyDescent="0.35">
      <c r="A1418">
        <v>24</v>
      </c>
      <c r="B1418">
        <v>2017</v>
      </c>
      <c r="C1418">
        <v>2</v>
      </c>
      <c r="D1418" t="s">
        <v>174</v>
      </c>
      <c r="E1418" t="s">
        <v>348</v>
      </c>
      <c r="F1418" t="s">
        <v>43</v>
      </c>
      <c r="G1418" t="s">
        <v>57</v>
      </c>
      <c r="H1418" s="4">
        <v>28</v>
      </c>
      <c r="I1418" t="str">
        <f t="shared" si="22"/>
        <v>Cynoscion virescensSeatrout</v>
      </c>
    </row>
    <row r="1419" spans="1:9" x14ac:dyDescent="0.35">
      <c r="A1419">
        <v>24</v>
      </c>
      <c r="B1419">
        <v>2017</v>
      </c>
      <c r="C1419">
        <v>2</v>
      </c>
      <c r="D1419" t="s">
        <v>174</v>
      </c>
      <c r="E1419" t="s">
        <v>348</v>
      </c>
      <c r="F1419" t="s">
        <v>43</v>
      </c>
      <c r="G1419" t="s">
        <v>57</v>
      </c>
      <c r="H1419" s="4">
        <v>19</v>
      </c>
      <c r="I1419" t="str">
        <f t="shared" si="22"/>
        <v>Cynoscion virescensSeatrout</v>
      </c>
    </row>
    <row r="1420" spans="1:9" x14ac:dyDescent="0.35">
      <c r="A1420">
        <v>24</v>
      </c>
      <c r="B1420">
        <v>2017</v>
      </c>
      <c r="C1420">
        <v>2</v>
      </c>
      <c r="D1420" t="s">
        <v>174</v>
      </c>
      <c r="E1420" t="s">
        <v>348</v>
      </c>
      <c r="F1420" t="s">
        <v>43</v>
      </c>
      <c r="G1420" t="s">
        <v>57</v>
      </c>
      <c r="H1420" s="4">
        <v>28</v>
      </c>
      <c r="I1420" t="str">
        <f t="shared" si="22"/>
        <v>Cynoscion virescensSeatrout</v>
      </c>
    </row>
    <row r="1421" spans="1:9" x14ac:dyDescent="0.35">
      <c r="A1421">
        <v>24</v>
      </c>
      <c r="B1421">
        <v>2017</v>
      </c>
      <c r="C1421">
        <v>2</v>
      </c>
      <c r="D1421" t="s">
        <v>174</v>
      </c>
      <c r="E1421" t="s">
        <v>348</v>
      </c>
      <c r="F1421" t="s">
        <v>43</v>
      </c>
      <c r="G1421" t="s">
        <v>57</v>
      </c>
      <c r="H1421" s="4">
        <v>24</v>
      </c>
      <c r="I1421" t="str">
        <f t="shared" si="22"/>
        <v>Cynoscion virescensSeatrout</v>
      </c>
    </row>
    <row r="1422" spans="1:9" x14ac:dyDescent="0.35">
      <c r="A1422">
        <v>24</v>
      </c>
      <c r="B1422">
        <v>2017</v>
      </c>
      <c r="C1422">
        <v>2</v>
      </c>
      <c r="D1422" t="s">
        <v>174</v>
      </c>
      <c r="E1422" t="s">
        <v>348</v>
      </c>
      <c r="F1422" t="s">
        <v>43</v>
      </c>
      <c r="G1422" t="s">
        <v>57</v>
      </c>
      <c r="H1422" s="4">
        <v>15</v>
      </c>
      <c r="I1422" t="str">
        <f t="shared" si="22"/>
        <v>Cynoscion virescensSeatrout</v>
      </c>
    </row>
    <row r="1423" spans="1:9" x14ac:dyDescent="0.35">
      <c r="A1423">
        <v>24</v>
      </c>
      <c r="B1423">
        <v>2017</v>
      </c>
      <c r="C1423">
        <v>2</v>
      </c>
      <c r="D1423" t="s">
        <v>174</v>
      </c>
      <c r="E1423" t="s">
        <v>348</v>
      </c>
      <c r="F1423" t="s">
        <v>43</v>
      </c>
      <c r="G1423" t="s">
        <v>57</v>
      </c>
      <c r="H1423" s="4">
        <v>23</v>
      </c>
      <c r="I1423" t="str">
        <f t="shared" si="22"/>
        <v>Cynoscion virescensSeatrout</v>
      </c>
    </row>
    <row r="1424" spans="1:9" x14ac:dyDescent="0.35">
      <c r="A1424">
        <v>24</v>
      </c>
      <c r="B1424">
        <v>2017</v>
      </c>
      <c r="C1424">
        <v>2</v>
      </c>
      <c r="D1424" t="s">
        <v>174</v>
      </c>
      <c r="E1424" t="s">
        <v>348</v>
      </c>
      <c r="F1424" t="s">
        <v>43</v>
      </c>
      <c r="G1424" t="s">
        <v>57</v>
      </c>
      <c r="H1424" s="4">
        <v>25</v>
      </c>
      <c r="I1424" t="str">
        <f t="shared" si="22"/>
        <v>Cynoscion virescensSeatrout</v>
      </c>
    </row>
    <row r="1425" spans="1:9" x14ac:dyDescent="0.35">
      <c r="A1425">
        <v>24</v>
      </c>
      <c r="B1425">
        <v>2017</v>
      </c>
      <c r="C1425">
        <v>2</v>
      </c>
      <c r="D1425" t="s">
        <v>174</v>
      </c>
      <c r="E1425" t="s">
        <v>348</v>
      </c>
      <c r="F1425" t="s">
        <v>43</v>
      </c>
      <c r="G1425" t="s">
        <v>57</v>
      </c>
      <c r="H1425" s="4">
        <v>19</v>
      </c>
      <c r="I1425" t="str">
        <f t="shared" si="22"/>
        <v>Cynoscion virescensSeatrout</v>
      </c>
    </row>
    <row r="1426" spans="1:9" x14ac:dyDescent="0.35">
      <c r="A1426">
        <v>24</v>
      </c>
      <c r="B1426">
        <v>2017</v>
      </c>
      <c r="C1426">
        <v>2</v>
      </c>
      <c r="D1426" t="s">
        <v>174</v>
      </c>
      <c r="E1426" t="s">
        <v>348</v>
      </c>
      <c r="F1426" t="s">
        <v>43</v>
      </c>
      <c r="G1426" t="s">
        <v>57</v>
      </c>
      <c r="H1426" s="4">
        <v>18</v>
      </c>
      <c r="I1426" t="str">
        <f t="shared" si="22"/>
        <v>Cynoscion virescensSeatrout</v>
      </c>
    </row>
    <row r="1427" spans="1:9" x14ac:dyDescent="0.35">
      <c r="A1427">
        <v>24</v>
      </c>
      <c r="B1427">
        <v>2017</v>
      </c>
      <c r="C1427">
        <v>2</v>
      </c>
      <c r="D1427" t="s">
        <v>174</v>
      </c>
      <c r="E1427" t="s">
        <v>348</v>
      </c>
      <c r="F1427" t="s">
        <v>43</v>
      </c>
      <c r="G1427" t="s">
        <v>57</v>
      </c>
      <c r="H1427" s="4">
        <v>28</v>
      </c>
      <c r="I1427" t="str">
        <f t="shared" si="22"/>
        <v>Cynoscion virescensSeatrout</v>
      </c>
    </row>
    <row r="1428" spans="1:9" x14ac:dyDescent="0.35">
      <c r="A1428">
        <v>24</v>
      </c>
      <c r="B1428">
        <v>2017</v>
      </c>
      <c r="C1428">
        <v>2</v>
      </c>
      <c r="D1428" t="s">
        <v>174</v>
      </c>
      <c r="E1428" t="s">
        <v>348</v>
      </c>
      <c r="F1428" t="s">
        <v>43</v>
      </c>
      <c r="G1428" t="s">
        <v>57</v>
      </c>
      <c r="H1428" s="4">
        <v>20</v>
      </c>
      <c r="I1428" t="str">
        <f t="shared" si="22"/>
        <v>Cynoscion virescensSeatrout</v>
      </c>
    </row>
    <row r="1429" spans="1:9" x14ac:dyDescent="0.35">
      <c r="A1429">
        <v>24</v>
      </c>
      <c r="B1429">
        <v>2017</v>
      </c>
      <c r="C1429">
        <v>2</v>
      </c>
      <c r="D1429" t="s">
        <v>174</v>
      </c>
      <c r="E1429" t="s">
        <v>348</v>
      </c>
      <c r="F1429" t="s">
        <v>43</v>
      </c>
      <c r="G1429" t="s">
        <v>57</v>
      </c>
      <c r="H1429" s="4">
        <v>28</v>
      </c>
      <c r="I1429" t="str">
        <f t="shared" si="22"/>
        <v>Cynoscion virescensSeatrout</v>
      </c>
    </row>
    <row r="1430" spans="1:9" x14ac:dyDescent="0.35">
      <c r="A1430">
        <v>24</v>
      </c>
      <c r="B1430">
        <v>2017</v>
      </c>
      <c r="C1430">
        <v>2</v>
      </c>
      <c r="D1430" t="s">
        <v>174</v>
      </c>
      <c r="E1430" t="s">
        <v>348</v>
      </c>
      <c r="F1430" t="s">
        <v>43</v>
      </c>
      <c r="G1430" t="s">
        <v>57</v>
      </c>
      <c r="H1430" s="4">
        <v>22</v>
      </c>
      <c r="I1430" t="str">
        <f t="shared" si="22"/>
        <v>Cynoscion virescensSeatrout</v>
      </c>
    </row>
    <row r="1431" spans="1:9" x14ac:dyDescent="0.35">
      <c r="A1431">
        <v>24</v>
      </c>
      <c r="B1431">
        <v>2017</v>
      </c>
      <c r="C1431">
        <v>2</v>
      </c>
      <c r="D1431" t="s">
        <v>174</v>
      </c>
      <c r="E1431" t="s">
        <v>348</v>
      </c>
      <c r="F1431" t="s">
        <v>43</v>
      </c>
      <c r="G1431" t="s">
        <v>57</v>
      </c>
      <c r="H1431" s="4">
        <v>20</v>
      </c>
      <c r="I1431" t="str">
        <f t="shared" si="22"/>
        <v>Cynoscion virescensSeatrout</v>
      </c>
    </row>
    <row r="1432" spans="1:9" x14ac:dyDescent="0.35">
      <c r="A1432">
        <v>24</v>
      </c>
      <c r="B1432">
        <v>2017</v>
      </c>
      <c r="C1432">
        <v>2</v>
      </c>
      <c r="D1432" t="s">
        <v>174</v>
      </c>
      <c r="E1432" t="s">
        <v>348</v>
      </c>
      <c r="F1432" t="s">
        <v>43</v>
      </c>
      <c r="G1432" t="s">
        <v>57</v>
      </c>
      <c r="H1432" s="4">
        <v>24</v>
      </c>
      <c r="I1432" t="str">
        <f t="shared" si="22"/>
        <v>Cynoscion virescensSeatrout</v>
      </c>
    </row>
    <row r="1433" spans="1:9" x14ac:dyDescent="0.35">
      <c r="A1433">
        <v>24</v>
      </c>
      <c r="B1433">
        <v>2017</v>
      </c>
      <c r="C1433">
        <v>2</v>
      </c>
      <c r="D1433" t="s">
        <v>174</v>
      </c>
      <c r="E1433" t="s">
        <v>348</v>
      </c>
      <c r="F1433" t="s">
        <v>43</v>
      </c>
      <c r="G1433" t="s">
        <v>57</v>
      </c>
      <c r="H1433" s="4">
        <v>22</v>
      </c>
      <c r="I1433" t="str">
        <f t="shared" si="22"/>
        <v>Cynoscion virescensSeatrout</v>
      </c>
    </row>
    <row r="1434" spans="1:9" x14ac:dyDescent="0.35">
      <c r="A1434">
        <v>24</v>
      </c>
      <c r="B1434">
        <v>2017</v>
      </c>
      <c r="C1434">
        <v>2</v>
      </c>
      <c r="D1434" t="s">
        <v>174</v>
      </c>
      <c r="E1434" t="s">
        <v>348</v>
      </c>
      <c r="F1434" t="s">
        <v>43</v>
      </c>
      <c r="G1434" t="s">
        <v>57</v>
      </c>
      <c r="H1434" s="4">
        <v>25</v>
      </c>
      <c r="I1434" t="str">
        <f t="shared" si="22"/>
        <v>Cynoscion virescensSeatrout</v>
      </c>
    </row>
    <row r="1435" spans="1:9" x14ac:dyDescent="0.35">
      <c r="A1435">
        <v>24</v>
      </c>
      <c r="B1435">
        <v>2017</v>
      </c>
      <c r="C1435">
        <v>2</v>
      </c>
      <c r="D1435" t="s">
        <v>174</v>
      </c>
      <c r="E1435" t="s">
        <v>348</v>
      </c>
      <c r="F1435" t="s">
        <v>43</v>
      </c>
      <c r="G1435" t="s">
        <v>57</v>
      </c>
      <c r="H1435" s="4">
        <v>20</v>
      </c>
      <c r="I1435" t="str">
        <f t="shared" si="22"/>
        <v>Cynoscion virescensSeatrout</v>
      </c>
    </row>
    <row r="1436" spans="1:9" x14ac:dyDescent="0.35">
      <c r="A1436">
        <v>24</v>
      </c>
      <c r="B1436">
        <v>2017</v>
      </c>
      <c r="C1436">
        <v>2</v>
      </c>
      <c r="D1436" t="s">
        <v>174</v>
      </c>
      <c r="E1436" t="s">
        <v>348</v>
      </c>
      <c r="F1436" t="s">
        <v>43</v>
      </c>
      <c r="G1436" t="s">
        <v>57</v>
      </c>
      <c r="H1436" s="4">
        <v>20</v>
      </c>
      <c r="I1436" t="str">
        <f t="shared" si="22"/>
        <v>Cynoscion virescensSeatrout</v>
      </c>
    </row>
    <row r="1437" spans="1:9" x14ac:dyDescent="0.35">
      <c r="A1437">
        <v>24</v>
      </c>
      <c r="B1437">
        <v>2017</v>
      </c>
      <c r="C1437">
        <v>2</v>
      </c>
      <c r="D1437" t="s">
        <v>174</v>
      </c>
      <c r="E1437" t="s">
        <v>348</v>
      </c>
      <c r="F1437" t="s">
        <v>43</v>
      </c>
      <c r="G1437" t="s">
        <v>57</v>
      </c>
      <c r="H1437" s="4">
        <v>20</v>
      </c>
      <c r="I1437" t="str">
        <f t="shared" si="22"/>
        <v>Cynoscion virescensSeatrout</v>
      </c>
    </row>
    <row r="1438" spans="1:9" x14ac:dyDescent="0.35">
      <c r="A1438">
        <v>24</v>
      </c>
      <c r="B1438">
        <v>2017</v>
      </c>
      <c r="C1438">
        <v>2</v>
      </c>
      <c r="D1438" t="s">
        <v>174</v>
      </c>
      <c r="E1438" t="s">
        <v>348</v>
      </c>
      <c r="F1438" t="s">
        <v>43</v>
      </c>
      <c r="G1438" t="s">
        <v>57</v>
      </c>
      <c r="H1438" s="4">
        <v>24</v>
      </c>
      <c r="I1438" t="str">
        <f t="shared" si="22"/>
        <v>Cynoscion virescensSeatrout</v>
      </c>
    </row>
    <row r="1439" spans="1:9" x14ac:dyDescent="0.35">
      <c r="A1439">
        <v>24</v>
      </c>
      <c r="B1439">
        <v>2017</v>
      </c>
      <c r="C1439">
        <v>2</v>
      </c>
      <c r="D1439" t="s">
        <v>174</v>
      </c>
      <c r="E1439" t="s">
        <v>348</v>
      </c>
      <c r="F1439" t="s">
        <v>43</v>
      </c>
      <c r="G1439" t="s">
        <v>57</v>
      </c>
      <c r="H1439" s="4">
        <v>20</v>
      </c>
      <c r="I1439" t="str">
        <f t="shared" si="22"/>
        <v>Cynoscion virescensSeatrout</v>
      </c>
    </row>
    <row r="1440" spans="1:9" x14ac:dyDescent="0.35">
      <c r="A1440">
        <v>24</v>
      </c>
      <c r="B1440">
        <v>2017</v>
      </c>
      <c r="C1440">
        <v>2</v>
      </c>
      <c r="D1440" t="s">
        <v>174</v>
      </c>
      <c r="E1440" t="s">
        <v>348</v>
      </c>
      <c r="F1440" t="s">
        <v>43</v>
      </c>
      <c r="G1440" t="s">
        <v>57</v>
      </c>
      <c r="H1440" s="4">
        <v>18</v>
      </c>
      <c r="I1440" t="str">
        <f t="shared" si="22"/>
        <v>Cynoscion virescensSeatrout</v>
      </c>
    </row>
    <row r="1441" spans="1:9" x14ac:dyDescent="0.35">
      <c r="A1441">
        <v>25</v>
      </c>
      <c r="B1441">
        <v>2017</v>
      </c>
      <c r="C1441">
        <v>12</v>
      </c>
      <c r="D1441" t="s">
        <v>174</v>
      </c>
      <c r="E1441" t="s">
        <v>349</v>
      </c>
      <c r="F1441" t="s">
        <v>15</v>
      </c>
      <c r="G1441" t="s">
        <v>16</v>
      </c>
      <c r="H1441" s="4">
        <v>30</v>
      </c>
      <c r="I1441" t="str">
        <f t="shared" si="22"/>
        <v>Nebris micropsButterfish</v>
      </c>
    </row>
    <row r="1442" spans="1:9" x14ac:dyDescent="0.35">
      <c r="A1442">
        <v>25</v>
      </c>
      <c r="B1442">
        <v>2017</v>
      </c>
      <c r="C1442">
        <v>12</v>
      </c>
      <c r="D1442" t="s">
        <v>174</v>
      </c>
      <c r="E1442" t="s">
        <v>349</v>
      </c>
      <c r="F1442" t="s">
        <v>15</v>
      </c>
      <c r="G1442" t="s">
        <v>16</v>
      </c>
      <c r="H1442" s="4">
        <v>18</v>
      </c>
      <c r="I1442" t="str">
        <f t="shared" si="22"/>
        <v>Nebris micropsButterfish</v>
      </c>
    </row>
    <row r="1443" spans="1:9" x14ac:dyDescent="0.35">
      <c r="A1443">
        <v>25</v>
      </c>
      <c r="B1443">
        <v>2017</v>
      </c>
      <c r="C1443">
        <v>12</v>
      </c>
      <c r="D1443" t="s">
        <v>174</v>
      </c>
      <c r="E1443" t="s">
        <v>349</v>
      </c>
      <c r="F1443" t="s">
        <v>15</v>
      </c>
      <c r="G1443" t="s">
        <v>16</v>
      </c>
      <c r="H1443" s="4">
        <v>18</v>
      </c>
      <c r="I1443" t="str">
        <f t="shared" si="22"/>
        <v>Nebris micropsButterfish</v>
      </c>
    </row>
    <row r="1444" spans="1:9" x14ac:dyDescent="0.35">
      <c r="A1444">
        <v>25</v>
      </c>
      <c r="B1444">
        <v>2017</v>
      </c>
      <c r="C1444">
        <v>12</v>
      </c>
      <c r="D1444" t="s">
        <v>174</v>
      </c>
      <c r="E1444" t="s">
        <v>349</v>
      </c>
      <c r="F1444" t="s">
        <v>15</v>
      </c>
      <c r="G1444" t="s">
        <v>16</v>
      </c>
      <c r="H1444" s="4">
        <v>16</v>
      </c>
      <c r="I1444" t="str">
        <f t="shared" si="22"/>
        <v>Nebris micropsButterfish</v>
      </c>
    </row>
    <row r="1445" spans="1:9" x14ac:dyDescent="0.35">
      <c r="A1445">
        <v>25</v>
      </c>
      <c r="B1445">
        <v>2017</v>
      </c>
      <c r="C1445">
        <v>12</v>
      </c>
      <c r="D1445" t="s">
        <v>174</v>
      </c>
      <c r="E1445" t="s">
        <v>349</v>
      </c>
      <c r="F1445" t="s">
        <v>15</v>
      </c>
      <c r="G1445" t="s">
        <v>16</v>
      </c>
      <c r="H1445" s="4">
        <v>16</v>
      </c>
      <c r="I1445" t="str">
        <f t="shared" si="22"/>
        <v>Nebris micropsButterfish</v>
      </c>
    </row>
    <row r="1446" spans="1:9" x14ac:dyDescent="0.35">
      <c r="A1446">
        <v>25</v>
      </c>
      <c r="B1446">
        <v>2017</v>
      </c>
      <c r="C1446">
        <v>12</v>
      </c>
      <c r="D1446" t="s">
        <v>174</v>
      </c>
      <c r="E1446" t="s">
        <v>349</v>
      </c>
      <c r="F1446" t="s">
        <v>15</v>
      </c>
      <c r="G1446" t="s">
        <v>16</v>
      </c>
      <c r="H1446" s="4">
        <v>16</v>
      </c>
      <c r="I1446" t="str">
        <f t="shared" si="22"/>
        <v>Nebris micropsButterfish</v>
      </c>
    </row>
    <row r="1447" spans="1:9" x14ac:dyDescent="0.35">
      <c r="A1447">
        <v>25</v>
      </c>
      <c r="B1447">
        <v>2017</v>
      </c>
      <c r="C1447">
        <v>12</v>
      </c>
      <c r="D1447" t="s">
        <v>174</v>
      </c>
      <c r="E1447" t="s">
        <v>349</v>
      </c>
      <c r="F1447" t="s">
        <v>15</v>
      </c>
      <c r="G1447" t="s">
        <v>16</v>
      </c>
      <c r="H1447" s="4">
        <v>16</v>
      </c>
      <c r="I1447" t="str">
        <f t="shared" si="22"/>
        <v>Nebris micropsButterfish</v>
      </c>
    </row>
    <row r="1448" spans="1:9" x14ac:dyDescent="0.35">
      <c r="A1448">
        <v>25</v>
      </c>
      <c r="B1448">
        <v>2017</v>
      </c>
      <c r="C1448">
        <v>12</v>
      </c>
      <c r="D1448" t="s">
        <v>174</v>
      </c>
      <c r="E1448" t="s">
        <v>349</v>
      </c>
      <c r="F1448" t="s">
        <v>15</v>
      </c>
      <c r="G1448" t="s">
        <v>16</v>
      </c>
      <c r="H1448" s="4">
        <v>19</v>
      </c>
      <c r="I1448" t="str">
        <f t="shared" si="22"/>
        <v>Nebris micropsButterfish</v>
      </c>
    </row>
    <row r="1449" spans="1:9" x14ac:dyDescent="0.35">
      <c r="A1449">
        <v>25</v>
      </c>
      <c r="B1449">
        <v>2017</v>
      </c>
      <c r="C1449">
        <v>12</v>
      </c>
      <c r="D1449" t="s">
        <v>174</v>
      </c>
      <c r="E1449" t="s">
        <v>349</v>
      </c>
      <c r="F1449" t="s">
        <v>15</v>
      </c>
      <c r="G1449" t="s">
        <v>16</v>
      </c>
      <c r="H1449" s="4">
        <v>16</v>
      </c>
      <c r="I1449" t="str">
        <f t="shared" si="22"/>
        <v>Nebris micropsButterfish</v>
      </c>
    </row>
    <row r="1450" spans="1:9" x14ac:dyDescent="0.35">
      <c r="A1450">
        <v>25</v>
      </c>
      <c r="B1450">
        <v>2017</v>
      </c>
      <c r="C1450">
        <v>12</v>
      </c>
      <c r="D1450" t="s">
        <v>174</v>
      </c>
      <c r="E1450" t="s">
        <v>349</v>
      </c>
      <c r="F1450" t="s">
        <v>15</v>
      </c>
      <c r="G1450" t="s">
        <v>16</v>
      </c>
      <c r="H1450" s="4">
        <v>12</v>
      </c>
      <c r="I1450" t="str">
        <f t="shared" si="22"/>
        <v>Nebris micropsButterfish</v>
      </c>
    </row>
    <row r="1451" spans="1:9" x14ac:dyDescent="0.35">
      <c r="A1451">
        <v>25</v>
      </c>
      <c r="B1451">
        <v>2017</v>
      </c>
      <c r="C1451">
        <v>12</v>
      </c>
      <c r="D1451" t="s">
        <v>174</v>
      </c>
      <c r="E1451" t="s">
        <v>349</v>
      </c>
      <c r="F1451" t="s">
        <v>15</v>
      </c>
      <c r="G1451" t="s">
        <v>16</v>
      </c>
      <c r="H1451" s="4">
        <v>20</v>
      </c>
      <c r="I1451" t="str">
        <f t="shared" si="22"/>
        <v>Nebris micropsButterfish</v>
      </c>
    </row>
    <row r="1452" spans="1:9" x14ac:dyDescent="0.35">
      <c r="A1452">
        <v>25</v>
      </c>
      <c r="B1452">
        <v>2017</v>
      </c>
      <c r="C1452">
        <v>12</v>
      </c>
      <c r="D1452" t="s">
        <v>174</v>
      </c>
      <c r="E1452" t="s">
        <v>349</v>
      </c>
      <c r="F1452" t="s">
        <v>15</v>
      </c>
      <c r="G1452" t="s">
        <v>16</v>
      </c>
      <c r="H1452" s="4">
        <v>19</v>
      </c>
      <c r="I1452" t="str">
        <f t="shared" si="22"/>
        <v>Nebris micropsButterfish</v>
      </c>
    </row>
    <row r="1453" spans="1:9" x14ac:dyDescent="0.35">
      <c r="A1453">
        <v>25</v>
      </c>
      <c r="B1453">
        <v>2017</v>
      </c>
      <c r="C1453">
        <v>12</v>
      </c>
      <c r="D1453" t="s">
        <v>174</v>
      </c>
      <c r="E1453" t="s">
        <v>349</v>
      </c>
      <c r="F1453" t="s">
        <v>15</v>
      </c>
      <c r="G1453" t="s">
        <v>16</v>
      </c>
      <c r="H1453" s="4">
        <v>27</v>
      </c>
      <c r="I1453" t="str">
        <f t="shared" si="22"/>
        <v>Nebris micropsButterfish</v>
      </c>
    </row>
    <row r="1454" spans="1:9" x14ac:dyDescent="0.35">
      <c r="A1454">
        <v>25</v>
      </c>
      <c r="B1454">
        <v>2017</v>
      </c>
      <c r="C1454">
        <v>12</v>
      </c>
      <c r="D1454" t="s">
        <v>174</v>
      </c>
      <c r="E1454" t="s">
        <v>349</v>
      </c>
      <c r="F1454" t="s">
        <v>15</v>
      </c>
      <c r="G1454" t="s">
        <v>16</v>
      </c>
      <c r="H1454" s="4">
        <v>33</v>
      </c>
      <c r="I1454" t="str">
        <f t="shared" si="22"/>
        <v>Nebris micropsButterfish</v>
      </c>
    </row>
    <row r="1455" spans="1:9" x14ac:dyDescent="0.35">
      <c r="A1455">
        <v>25</v>
      </c>
      <c r="B1455">
        <v>2017</v>
      </c>
      <c r="C1455">
        <v>12</v>
      </c>
      <c r="D1455" t="s">
        <v>174</v>
      </c>
      <c r="E1455" t="s">
        <v>349</v>
      </c>
      <c r="F1455" t="s">
        <v>15</v>
      </c>
      <c r="G1455" t="s">
        <v>16</v>
      </c>
      <c r="H1455" s="4">
        <v>17</v>
      </c>
      <c r="I1455" t="str">
        <f t="shared" si="22"/>
        <v>Nebris micropsButterfish</v>
      </c>
    </row>
    <row r="1456" spans="1:9" x14ac:dyDescent="0.35">
      <c r="A1456">
        <v>25</v>
      </c>
      <c r="B1456">
        <v>2017</v>
      </c>
      <c r="C1456">
        <v>12</v>
      </c>
      <c r="D1456" t="s">
        <v>174</v>
      </c>
      <c r="E1456" t="s">
        <v>349</v>
      </c>
      <c r="F1456" t="s">
        <v>15</v>
      </c>
      <c r="G1456" t="s">
        <v>16</v>
      </c>
      <c r="H1456" s="4">
        <v>14</v>
      </c>
      <c r="I1456" t="str">
        <f t="shared" si="22"/>
        <v>Nebris micropsButterfish</v>
      </c>
    </row>
    <row r="1457" spans="1:9" x14ac:dyDescent="0.35">
      <c r="A1457">
        <v>25</v>
      </c>
      <c r="B1457">
        <v>2017</v>
      </c>
      <c r="C1457">
        <v>12</v>
      </c>
      <c r="D1457" t="s">
        <v>174</v>
      </c>
      <c r="E1457" t="s">
        <v>349</v>
      </c>
      <c r="F1457" t="s">
        <v>15</v>
      </c>
      <c r="G1457" t="s">
        <v>16</v>
      </c>
      <c r="H1457" s="4">
        <v>18</v>
      </c>
      <c r="I1457" t="str">
        <f t="shared" si="22"/>
        <v>Nebris micropsButterfish</v>
      </c>
    </row>
    <row r="1458" spans="1:9" x14ac:dyDescent="0.35">
      <c r="A1458">
        <v>25</v>
      </c>
      <c r="B1458">
        <v>2017</v>
      </c>
      <c r="C1458">
        <v>12</v>
      </c>
      <c r="D1458" t="s">
        <v>174</v>
      </c>
      <c r="E1458" t="s">
        <v>349</v>
      </c>
      <c r="F1458" t="s">
        <v>15</v>
      </c>
      <c r="G1458" t="s">
        <v>16</v>
      </c>
      <c r="H1458" s="4">
        <v>17</v>
      </c>
      <c r="I1458" t="str">
        <f t="shared" si="22"/>
        <v>Nebris micropsButterfish</v>
      </c>
    </row>
    <row r="1459" spans="1:9" x14ac:dyDescent="0.35">
      <c r="A1459">
        <v>25</v>
      </c>
      <c r="B1459">
        <v>2017</v>
      </c>
      <c r="C1459">
        <v>12</v>
      </c>
      <c r="D1459" t="s">
        <v>174</v>
      </c>
      <c r="E1459" t="s">
        <v>349</v>
      </c>
      <c r="F1459" t="s">
        <v>15</v>
      </c>
      <c r="G1459" t="s">
        <v>16</v>
      </c>
      <c r="H1459" s="4">
        <v>35</v>
      </c>
      <c r="I1459" t="str">
        <f t="shared" si="22"/>
        <v>Nebris micropsButterfish</v>
      </c>
    </row>
    <row r="1460" spans="1:9" x14ac:dyDescent="0.35">
      <c r="A1460">
        <v>25</v>
      </c>
      <c r="B1460">
        <v>2017</v>
      </c>
      <c r="C1460">
        <v>12</v>
      </c>
      <c r="D1460" t="s">
        <v>174</v>
      </c>
      <c r="E1460" t="s">
        <v>349</v>
      </c>
      <c r="F1460" t="s">
        <v>15</v>
      </c>
      <c r="G1460" t="s">
        <v>16</v>
      </c>
      <c r="H1460" s="4">
        <v>31</v>
      </c>
      <c r="I1460" t="str">
        <f t="shared" si="22"/>
        <v>Nebris micropsButterfish</v>
      </c>
    </row>
    <row r="1461" spans="1:9" x14ac:dyDescent="0.35">
      <c r="A1461">
        <v>25</v>
      </c>
      <c r="B1461">
        <v>2017</v>
      </c>
      <c r="C1461">
        <v>12</v>
      </c>
      <c r="D1461" t="s">
        <v>174</v>
      </c>
      <c r="E1461" t="s">
        <v>349</v>
      </c>
      <c r="F1461" t="s">
        <v>15</v>
      </c>
      <c r="G1461" t="s">
        <v>16</v>
      </c>
      <c r="H1461" s="4">
        <v>15</v>
      </c>
      <c r="I1461" t="str">
        <f t="shared" si="22"/>
        <v>Nebris micropsButterfish</v>
      </c>
    </row>
    <row r="1462" spans="1:9" x14ac:dyDescent="0.35">
      <c r="A1462">
        <v>25</v>
      </c>
      <c r="B1462">
        <v>2017</v>
      </c>
      <c r="C1462">
        <v>12</v>
      </c>
      <c r="D1462" t="s">
        <v>174</v>
      </c>
      <c r="E1462" t="s">
        <v>349</v>
      </c>
      <c r="F1462" t="s">
        <v>15</v>
      </c>
      <c r="G1462" t="s">
        <v>16</v>
      </c>
      <c r="H1462" s="4">
        <v>36</v>
      </c>
      <c r="I1462" t="str">
        <f t="shared" si="22"/>
        <v>Nebris micropsButterfish</v>
      </c>
    </row>
    <row r="1463" spans="1:9" x14ac:dyDescent="0.35">
      <c r="A1463">
        <v>25</v>
      </c>
      <c r="B1463">
        <v>2017</v>
      </c>
      <c r="C1463">
        <v>12</v>
      </c>
      <c r="D1463" t="s">
        <v>174</v>
      </c>
      <c r="E1463" t="s">
        <v>349</v>
      </c>
      <c r="F1463" t="s">
        <v>15</v>
      </c>
      <c r="G1463" t="s">
        <v>16</v>
      </c>
      <c r="H1463" s="4">
        <v>26</v>
      </c>
      <c r="I1463" t="str">
        <f t="shared" si="22"/>
        <v>Nebris micropsButterfish</v>
      </c>
    </row>
    <row r="1464" spans="1:9" x14ac:dyDescent="0.35">
      <c r="A1464">
        <v>25</v>
      </c>
      <c r="B1464">
        <v>2017</v>
      </c>
      <c r="C1464">
        <v>12</v>
      </c>
      <c r="D1464" t="s">
        <v>174</v>
      </c>
      <c r="E1464" t="s">
        <v>349</v>
      </c>
      <c r="F1464" t="s">
        <v>15</v>
      </c>
      <c r="G1464" t="s">
        <v>16</v>
      </c>
      <c r="H1464" s="4">
        <v>17</v>
      </c>
      <c r="I1464" t="str">
        <f t="shared" si="22"/>
        <v>Nebris micropsButterfish</v>
      </c>
    </row>
    <row r="1465" spans="1:9" x14ac:dyDescent="0.35">
      <c r="A1465">
        <v>25</v>
      </c>
      <c r="B1465">
        <v>2017</v>
      </c>
      <c r="C1465">
        <v>12</v>
      </c>
      <c r="D1465" t="s">
        <v>174</v>
      </c>
      <c r="E1465" t="s">
        <v>349</v>
      </c>
      <c r="F1465" t="s">
        <v>15</v>
      </c>
      <c r="G1465" t="s">
        <v>16</v>
      </c>
      <c r="H1465" s="4">
        <v>16</v>
      </c>
      <c r="I1465" t="str">
        <f t="shared" si="22"/>
        <v>Nebris micropsButterfish</v>
      </c>
    </row>
    <row r="1466" spans="1:9" x14ac:dyDescent="0.35">
      <c r="A1466">
        <v>25</v>
      </c>
      <c r="B1466">
        <v>2017</v>
      </c>
      <c r="C1466">
        <v>12</v>
      </c>
      <c r="D1466" t="s">
        <v>174</v>
      </c>
      <c r="E1466" t="s">
        <v>349</v>
      </c>
      <c r="F1466" t="s">
        <v>15</v>
      </c>
      <c r="G1466" t="s">
        <v>16</v>
      </c>
      <c r="H1466" s="4">
        <v>7</v>
      </c>
      <c r="I1466" t="str">
        <f t="shared" si="22"/>
        <v>Nebris micropsButterfish</v>
      </c>
    </row>
    <row r="1467" spans="1:9" x14ac:dyDescent="0.35">
      <c r="A1467">
        <v>25</v>
      </c>
      <c r="B1467">
        <v>2017</v>
      </c>
      <c r="C1467">
        <v>12</v>
      </c>
      <c r="D1467" t="s">
        <v>174</v>
      </c>
      <c r="E1467" t="s">
        <v>349</v>
      </c>
      <c r="F1467" t="s">
        <v>15</v>
      </c>
      <c r="G1467" t="s">
        <v>16</v>
      </c>
      <c r="H1467" s="4">
        <v>18</v>
      </c>
      <c r="I1467" t="str">
        <f t="shared" si="22"/>
        <v>Nebris micropsButterfish</v>
      </c>
    </row>
    <row r="1468" spans="1:9" x14ac:dyDescent="0.35">
      <c r="A1468">
        <v>25</v>
      </c>
      <c r="B1468">
        <v>2017</v>
      </c>
      <c r="C1468">
        <v>12</v>
      </c>
      <c r="D1468" t="s">
        <v>174</v>
      </c>
      <c r="E1468" t="s">
        <v>349</v>
      </c>
      <c r="F1468" t="s">
        <v>15</v>
      </c>
      <c r="G1468" t="s">
        <v>16</v>
      </c>
      <c r="H1468" s="4">
        <v>14</v>
      </c>
      <c r="I1468" t="str">
        <f t="shared" si="22"/>
        <v>Nebris micropsButterfish</v>
      </c>
    </row>
    <row r="1469" spans="1:9" x14ac:dyDescent="0.35">
      <c r="A1469">
        <v>25</v>
      </c>
      <c r="B1469">
        <v>2017</v>
      </c>
      <c r="C1469">
        <v>12</v>
      </c>
      <c r="D1469" t="s">
        <v>174</v>
      </c>
      <c r="E1469" t="s">
        <v>349</v>
      </c>
      <c r="F1469" t="s">
        <v>15</v>
      </c>
      <c r="G1469" t="s">
        <v>16</v>
      </c>
      <c r="H1469" s="4">
        <v>7</v>
      </c>
      <c r="I1469" t="str">
        <f t="shared" si="22"/>
        <v>Nebris micropsButterfish</v>
      </c>
    </row>
    <row r="1470" spans="1:9" x14ac:dyDescent="0.35">
      <c r="A1470">
        <v>25</v>
      </c>
      <c r="B1470">
        <v>2017</v>
      </c>
      <c r="C1470">
        <v>12</v>
      </c>
      <c r="D1470" t="s">
        <v>174</v>
      </c>
      <c r="E1470" t="s">
        <v>349</v>
      </c>
      <c r="F1470" t="s">
        <v>15</v>
      </c>
      <c r="G1470" t="s">
        <v>16</v>
      </c>
      <c r="H1470" s="4">
        <v>6</v>
      </c>
      <c r="I1470" t="str">
        <f t="shared" si="22"/>
        <v>Nebris micropsButterfish</v>
      </c>
    </row>
    <row r="1471" spans="1:9" x14ac:dyDescent="0.35">
      <c r="A1471">
        <v>25</v>
      </c>
      <c r="B1471">
        <v>2017</v>
      </c>
      <c r="C1471">
        <v>12</v>
      </c>
      <c r="D1471" t="s">
        <v>174</v>
      </c>
      <c r="E1471" t="s">
        <v>349</v>
      </c>
      <c r="F1471" t="s">
        <v>15</v>
      </c>
      <c r="G1471" t="s">
        <v>16</v>
      </c>
      <c r="H1471" s="4">
        <v>18</v>
      </c>
      <c r="I1471" t="str">
        <f t="shared" si="22"/>
        <v>Nebris micropsButterfish</v>
      </c>
    </row>
    <row r="1472" spans="1:9" x14ac:dyDescent="0.35">
      <c r="A1472">
        <v>25</v>
      </c>
      <c r="B1472">
        <v>2017</v>
      </c>
      <c r="C1472">
        <v>12</v>
      </c>
      <c r="D1472" t="s">
        <v>174</v>
      </c>
      <c r="E1472" t="s">
        <v>349</v>
      </c>
      <c r="F1472" t="s">
        <v>43</v>
      </c>
      <c r="G1472" t="s">
        <v>57</v>
      </c>
      <c r="H1472" s="4">
        <v>20</v>
      </c>
      <c r="I1472" t="str">
        <f t="shared" si="22"/>
        <v>Cynoscion virescensSeatrout</v>
      </c>
    </row>
    <row r="1473" spans="1:9" x14ac:dyDescent="0.35">
      <c r="A1473">
        <v>25</v>
      </c>
      <c r="B1473">
        <v>2017</v>
      </c>
      <c r="C1473">
        <v>12</v>
      </c>
      <c r="D1473" t="s">
        <v>174</v>
      </c>
      <c r="E1473" t="s">
        <v>349</v>
      </c>
      <c r="F1473" t="s">
        <v>43</v>
      </c>
      <c r="G1473" t="s">
        <v>57</v>
      </c>
      <c r="H1473" s="4">
        <v>19</v>
      </c>
      <c r="I1473" t="str">
        <f t="shared" si="22"/>
        <v>Cynoscion virescensSeatrout</v>
      </c>
    </row>
    <row r="1474" spans="1:9" x14ac:dyDescent="0.35">
      <c r="A1474">
        <v>25</v>
      </c>
      <c r="B1474">
        <v>2017</v>
      </c>
      <c r="C1474">
        <v>12</v>
      </c>
      <c r="D1474" t="s">
        <v>174</v>
      </c>
      <c r="E1474" t="s">
        <v>349</v>
      </c>
      <c r="F1474" t="s">
        <v>43</v>
      </c>
      <c r="G1474" t="s">
        <v>57</v>
      </c>
      <c r="H1474" s="4">
        <v>15</v>
      </c>
      <c r="I1474" t="str">
        <f t="shared" ref="I1474:I1537" si="23">CONCATENATE(F1474,G1474)</f>
        <v>Cynoscion virescensSeatrout</v>
      </c>
    </row>
    <row r="1475" spans="1:9" x14ac:dyDescent="0.35">
      <c r="A1475">
        <v>25</v>
      </c>
      <c r="B1475">
        <v>2017</v>
      </c>
      <c r="C1475">
        <v>12</v>
      </c>
      <c r="D1475" t="s">
        <v>174</v>
      </c>
      <c r="E1475" t="s">
        <v>349</v>
      </c>
      <c r="F1475" t="s">
        <v>43</v>
      </c>
      <c r="G1475" t="s">
        <v>57</v>
      </c>
      <c r="H1475" s="4">
        <v>15</v>
      </c>
      <c r="I1475" t="str">
        <f t="shared" si="23"/>
        <v>Cynoscion virescensSeatrout</v>
      </c>
    </row>
    <row r="1476" spans="1:9" x14ac:dyDescent="0.35">
      <c r="A1476">
        <v>25</v>
      </c>
      <c r="B1476">
        <v>2017</v>
      </c>
      <c r="C1476">
        <v>12</v>
      </c>
      <c r="D1476" t="s">
        <v>174</v>
      </c>
      <c r="E1476" t="s">
        <v>349</v>
      </c>
      <c r="F1476" t="s">
        <v>43</v>
      </c>
      <c r="G1476" t="s">
        <v>57</v>
      </c>
      <c r="H1476" s="4">
        <v>13</v>
      </c>
      <c r="I1476" t="str">
        <f t="shared" si="23"/>
        <v>Cynoscion virescensSeatrout</v>
      </c>
    </row>
    <row r="1477" spans="1:9" x14ac:dyDescent="0.35">
      <c r="A1477">
        <v>25</v>
      </c>
      <c r="B1477">
        <v>2017</v>
      </c>
      <c r="C1477">
        <v>12</v>
      </c>
      <c r="D1477" t="s">
        <v>174</v>
      </c>
      <c r="E1477" t="s">
        <v>349</v>
      </c>
      <c r="F1477" t="s">
        <v>43</v>
      </c>
      <c r="G1477" t="s">
        <v>57</v>
      </c>
      <c r="H1477" s="4">
        <v>18</v>
      </c>
      <c r="I1477" t="str">
        <f t="shared" si="23"/>
        <v>Cynoscion virescensSeatrout</v>
      </c>
    </row>
    <row r="1478" spans="1:9" x14ac:dyDescent="0.35">
      <c r="A1478">
        <v>25</v>
      </c>
      <c r="B1478">
        <v>2017</v>
      </c>
      <c r="C1478">
        <v>12</v>
      </c>
      <c r="D1478" t="s">
        <v>174</v>
      </c>
      <c r="E1478" t="s">
        <v>349</v>
      </c>
      <c r="F1478" t="s">
        <v>43</v>
      </c>
      <c r="G1478" t="s">
        <v>57</v>
      </c>
      <c r="H1478" s="4">
        <v>16</v>
      </c>
      <c r="I1478" t="str">
        <f t="shared" si="23"/>
        <v>Cynoscion virescensSeatrout</v>
      </c>
    </row>
    <row r="1479" spans="1:9" x14ac:dyDescent="0.35">
      <c r="A1479">
        <v>25</v>
      </c>
      <c r="B1479">
        <v>2017</v>
      </c>
      <c r="C1479">
        <v>12</v>
      </c>
      <c r="D1479" t="s">
        <v>174</v>
      </c>
      <c r="E1479" t="s">
        <v>349</v>
      </c>
      <c r="F1479" t="s">
        <v>43</v>
      </c>
      <c r="G1479" t="s">
        <v>57</v>
      </c>
      <c r="H1479" s="4">
        <v>17</v>
      </c>
      <c r="I1479" t="str">
        <f t="shared" si="23"/>
        <v>Cynoscion virescensSeatrout</v>
      </c>
    </row>
    <row r="1480" spans="1:9" x14ac:dyDescent="0.35">
      <c r="A1480">
        <v>25</v>
      </c>
      <c r="B1480">
        <v>2017</v>
      </c>
      <c r="C1480">
        <v>12</v>
      </c>
      <c r="D1480" t="s">
        <v>174</v>
      </c>
      <c r="E1480" t="s">
        <v>349</v>
      </c>
      <c r="F1480" t="s">
        <v>43</v>
      </c>
      <c r="G1480" t="s">
        <v>57</v>
      </c>
      <c r="H1480" s="4">
        <v>12</v>
      </c>
      <c r="I1480" t="str">
        <f t="shared" si="23"/>
        <v>Cynoscion virescensSeatrout</v>
      </c>
    </row>
    <row r="1481" spans="1:9" x14ac:dyDescent="0.35">
      <c r="A1481">
        <v>25</v>
      </c>
      <c r="B1481">
        <v>2017</v>
      </c>
      <c r="C1481">
        <v>12</v>
      </c>
      <c r="D1481" t="s">
        <v>174</v>
      </c>
      <c r="E1481" t="s">
        <v>349</v>
      </c>
      <c r="F1481" t="s">
        <v>43</v>
      </c>
      <c r="G1481" t="s">
        <v>57</v>
      </c>
      <c r="H1481" s="4">
        <v>15</v>
      </c>
      <c r="I1481" t="str">
        <f t="shared" si="23"/>
        <v>Cynoscion virescensSeatrout</v>
      </c>
    </row>
    <row r="1482" spans="1:9" x14ac:dyDescent="0.35">
      <c r="A1482">
        <v>25</v>
      </c>
      <c r="B1482">
        <v>2017</v>
      </c>
      <c r="C1482">
        <v>12</v>
      </c>
      <c r="D1482" t="s">
        <v>174</v>
      </c>
      <c r="E1482" t="s">
        <v>349</v>
      </c>
      <c r="F1482" t="s">
        <v>43</v>
      </c>
      <c r="G1482" t="s">
        <v>57</v>
      </c>
      <c r="H1482" s="4">
        <v>14</v>
      </c>
      <c r="I1482" t="str">
        <f t="shared" si="23"/>
        <v>Cynoscion virescensSeatrout</v>
      </c>
    </row>
    <row r="1483" spans="1:9" x14ac:dyDescent="0.35">
      <c r="A1483">
        <v>25</v>
      </c>
      <c r="B1483">
        <v>2017</v>
      </c>
      <c r="C1483">
        <v>12</v>
      </c>
      <c r="D1483" t="s">
        <v>174</v>
      </c>
      <c r="E1483" t="s">
        <v>349</v>
      </c>
      <c r="F1483" t="s">
        <v>43</v>
      </c>
      <c r="G1483" t="s">
        <v>57</v>
      </c>
      <c r="H1483" s="4">
        <v>19</v>
      </c>
      <c r="I1483" t="str">
        <f t="shared" si="23"/>
        <v>Cynoscion virescensSeatrout</v>
      </c>
    </row>
    <row r="1484" spans="1:9" x14ac:dyDescent="0.35">
      <c r="A1484">
        <v>25</v>
      </c>
      <c r="B1484">
        <v>2017</v>
      </c>
      <c r="C1484">
        <v>12</v>
      </c>
      <c r="D1484" t="s">
        <v>174</v>
      </c>
      <c r="E1484" t="s">
        <v>349</v>
      </c>
      <c r="F1484" t="s">
        <v>43</v>
      </c>
      <c r="G1484" t="s">
        <v>57</v>
      </c>
      <c r="H1484" s="4">
        <v>17</v>
      </c>
      <c r="I1484" t="str">
        <f t="shared" si="23"/>
        <v>Cynoscion virescensSeatrout</v>
      </c>
    </row>
    <row r="1485" spans="1:9" x14ac:dyDescent="0.35">
      <c r="A1485">
        <v>25</v>
      </c>
      <c r="B1485">
        <v>2017</v>
      </c>
      <c r="C1485">
        <v>12</v>
      </c>
      <c r="D1485" t="s">
        <v>174</v>
      </c>
      <c r="E1485" t="s">
        <v>349</v>
      </c>
      <c r="F1485" t="s">
        <v>43</v>
      </c>
      <c r="G1485" t="s">
        <v>57</v>
      </c>
      <c r="H1485" s="4">
        <v>19</v>
      </c>
      <c r="I1485" t="str">
        <f t="shared" si="23"/>
        <v>Cynoscion virescensSeatrout</v>
      </c>
    </row>
    <row r="1486" spans="1:9" x14ac:dyDescent="0.35">
      <c r="A1486">
        <v>25</v>
      </c>
      <c r="B1486">
        <v>2017</v>
      </c>
      <c r="C1486">
        <v>12</v>
      </c>
      <c r="D1486" t="s">
        <v>174</v>
      </c>
      <c r="E1486" t="s">
        <v>349</v>
      </c>
      <c r="F1486" t="s">
        <v>43</v>
      </c>
      <c r="G1486" t="s">
        <v>57</v>
      </c>
      <c r="H1486" s="4">
        <v>16</v>
      </c>
      <c r="I1486" t="str">
        <f t="shared" si="23"/>
        <v>Cynoscion virescensSeatrout</v>
      </c>
    </row>
    <row r="1487" spans="1:9" x14ac:dyDescent="0.35">
      <c r="A1487">
        <v>25</v>
      </c>
      <c r="B1487">
        <v>2017</v>
      </c>
      <c r="C1487">
        <v>12</v>
      </c>
      <c r="D1487" t="s">
        <v>174</v>
      </c>
      <c r="E1487" t="s">
        <v>349</v>
      </c>
      <c r="F1487" t="s">
        <v>43</v>
      </c>
      <c r="G1487" t="s">
        <v>57</v>
      </c>
      <c r="H1487" s="4">
        <v>21</v>
      </c>
      <c r="I1487" t="str">
        <f t="shared" si="23"/>
        <v>Cynoscion virescensSeatrout</v>
      </c>
    </row>
    <row r="1488" spans="1:9" x14ac:dyDescent="0.35">
      <c r="A1488">
        <v>25</v>
      </c>
      <c r="B1488">
        <v>2017</v>
      </c>
      <c r="C1488">
        <v>12</v>
      </c>
      <c r="D1488" t="s">
        <v>174</v>
      </c>
      <c r="E1488" t="s">
        <v>349</v>
      </c>
      <c r="F1488" t="s">
        <v>43</v>
      </c>
      <c r="G1488" t="s">
        <v>57</v>
      </c>
      <c r="H1488" s="4">
        <v>12</v>
      </c>
      <c r="I1488" t="str">
        <f t="shared" si="23"/>
        <v>Cynoscion virescensSeatrout</v>
      </c>
    </row>
    <row r="1489" spans="1:9" x14ac:dyDescent="0.35">
      <c r="A1489">
        <v>25</v>
      </c>
      <c r="B1489">
        <v>2017</v>
      </c>
      <c r="C1489">
        <v>12</v>
      </c>
      <c r="D1489" t="s">
        <v>174</v>
      </c>
      <c r="E1489" t="s">
        <v>349</v>
      </c>
      <c r="F1489" t="s">
        <v>43</v>
      </c>
      <c r="G1489" t="s">
        <v>57</v>
      </c>
      <c r="H1489" s="4">
        <v>17</v>
      </c>
      <c r="I1489" t="str">
        <f t="shared" si="23"/>
        <v>Cynoscion virescensSeatrout</v>
      </c>
    </row>
    <row r="1490" spans="1:9" x14ac:dyDescent="0.35">
      <c r="A1490">
        <v>25</v>
      </c>
      <c r="B1490">
        <v>2017</v>
      </c>
      <c r="C1490">
        <v>12</v>
      </c>
      <c r="D1490" t="s">
        <v>174</v>
      </c>
      <c r="E1490" t="s">
        <v>349</v>
      </c>
      <c r="F1490" t="s">
        <v>43</v>
      </c>
      <c r="G1490" t="s">
        <v>57</v>
      </c>
      <c r="H1490" s="4">
        <v>14</v>
      </c>
      <c r="I1490" t="str">
        <f t="shared" si="23"/>
        <v>Cynoscion virescensSeatrout</v>
      </c>
    </row>
    <row r="1491" spans="1:9" x14ac:dyDescent="0.35">
      <c r="A1491">
        <v>25</v>
      </c>
      <c r="B1491">
        <v>2017</v>
      </c>
      <c r="C1491">
        <v>12</v>
      </c>
      <c r="D1491" t="s">
        <v>174</v>
      </c>
      <c r="E1491" t="s">
        <v>349</v>
      </c>
      <c r="F1491" t="s">
        <v>43</v>
      </c>
      <c r="G1491" t="s">
        <v>57</v>
      </c>
      <c r="H1491" s="4">
        <v>12</v>
      </c>
      <c r="I1491" t="str">
        <f t="shared" si="23"/>
        <v>Cynoscion virescensSeatrout</v>
      </c>
    </row>
    <row r="1492" spans="1:9" x14ac:dyDescent="0.35">
      <c r="A1492">
        <v>25</v>
      </c>
      <c r="B1492">
        <v>2017</v>
      </c>
      <c r="C1492">
        <v>12</v>
      </c>
      <c r="D1492" t="s">
        <v>174</v>
      </c>
      <c r="E1492" t="s">
        <v>349</v>
      </c>
      <c r="F1492" t="s">
        <v>43</v>
      </c>
      <c r="G1492" t="s">
        <v>57</v>
      </c>
      <c r="H1492" s="4">
        <v>11</v>
      </c>
      <c r="I1492" t="str">
        <f t="shared" si="23"/>
        <v>Cynoscion virescensSeatrout</v>
      </c>
    </row>
    <row r="1493" spans="1:9" x14ac:dyDescent="0.35">
      <c r="A1493">
        <v>25</v>
      </c>
      <c r="B1493">
        <v>2017</v>
      </c>
      <c r="C1493">
        <v>12</v>
      </c>
      <c r="D1493" t="s">
        <v>174</v>
      </c>
      <c r="E1493" t="s">
        <v>349</v>
      </c>
      <c r="F1493" t="s">
        <v>43</v>
      </c>
      <c r="G1493" t="s">
        <v>57</v>
      </c>
      <c r="H1493" s="4">
        <v>14</v>
      </c>
      <c r="I1493" t="str">
        <f t="shared" si="23"/>
        <v>Cynoscion virescensSeatrout</v>
      </c>
    </row>
    <row r="1494" spans="1:9" x14ac:dyDescent="0.35">
      <c r="A1494">
        <v>25</v>
      </c>
      <c r="B1494">
        <v>2017</v>
      </c>
      <c r="C1494">
        <v>12</v>
      </c>
      <c r="D1494" t="s">
        <v>174</v>
      </c>
      <c r="E1494" t="s">
        <v>349</v>
      </c>
      <c r="F1494" t="s">
        <v>43</v>
      </c>
      <c r="G1494" t="s">
        <v>57</v>
      </c>
      <c r="H1494" s="4">
        <v>13</v>
      </c>
      <c r="I1494" t="str">
        <f t="shared" si="23"/>
        <v>Cynoscion virescensSeatrout</v>
      </c>
    </row>
    <row r="1495" spans="1:9" x14ac:dyDescent="0.35">
      <c r="A1495">
        <v>25</v>
      </c>
      <c r="B1495">
        <v>2017</v>
      </c>
      <c r="C1495">
        <v>12</v>
      </c>
      <c r="D1495" t="s">
        <v>174</v>
      </c>
      <c r="E1495" t="s">
        <v>349</v>
      </c>
      <c r="F1495" t="s">
        <v>43</v>
      </c>
      <c r="G1495" t="s">
        <v>57</v>
      </c>
      <c r="H1495" s="4">
        <v>14</v>
      </c>
      <c r="I1495" t="str">
        <f t="shared" si="23"/>
        <v>Cynoscion virescensSeatrout</v>
      </c>
    </row>
    <row r="1496" spans="1:9" x14ac:dyDescent="0.35">
      <c r="A1496">
        <v>25</v>
      </c>
      <c r="B1496">
        <v>2017</v>
      </c>
      <c r="C1496">
        <v>12</v>
      </c>
      <c r="D1496" t="s">
        <v>174</v>
      </c>
      <c r="E1496" t="s">
        <v>349</v>
      </c>
      <c r="F1496" t="s">
        <v>43</v>
      </c>
      <c r="G1496" t="s">
        <v>57</v>
      </c>
      <c r="H1496" s="4">
        <v>13</v>
      </c>
      <c r="I1496" t="str">
        <f t="shared" si="23"/>
        <v>Cynoscion virescensSeatrout</v>
      </c>
    </row>
    <row r="1497" spans="1:9" x14ac:dyDescent="0.35">
      <c r="A1497">
        <v>25</v>
      </c>
      <c r="B1497">
        <v>2017</v>
      </c>
      <c r="C1497">
        <v>12</v>
      </c>
      <c r="D1497" t="s">
        <v>174</v>
      </c>
      <c r="E1497" t="s">
        <v>349</v>
      </c>
      <c r="F1497" t="s">
        <v>43</v>
      </c>
      <c r="G1497" t="s">
        <v>57</v>
      </c>
      <c r="H1497" s="4">
        <v>10</v>
      </c>
      <c r="I1497" t="str">
        <f t="shared" si="23"/>
        <v>Cynoscion virescensSeatrout</v>
      </c>
    </row>
    <row r="1498" spans="1:9" x14ac:dyDescent="0.35">
      <c r="A1498">
        <v>25</v>
      </c>
      <c r="B1498">
        <v>2017</v>
      </c>
      <c r="C1498">
        <v>12</v>
      </c>
      <c r="D1498" t="s">
        <v>174</v>
      </c>
      <c r="E1498" t="s">
        <v>349</v>
      </c>
      <c r="F1498" t="s">
        <v>43</v>
      </c>
      <c r="G1498" t="s">
        <v>57</v>
      </c>
      <c r="H1498" s="4">
        <v>12</v>
      </c>
      <c r="I1498" t="str">
        <f t="shared" si="23"/>
        <v>Cynoscion virescensSeatrout</v>
      </c>
    </row>
    <row r="1499" spans="1:9" x14ac:dyDescent="0.35">
      <c r="A1499">
        <v>25</v>
      </c>
      <c r="B1499">
        <v>2017</v>
      </c>
      <c r="C1499">
        <v>12</v>
      </c>
      <c r="D1499" t="s">
        <v>174</v>
      </c>
      <c r="E1499" t="s">
        <v>349</v>
      </c>
      <c r="F1499" t="s">
        <v>43</v>
      </c>
      <c r="G1499" t="s">
        <v>57</v>
      </c>
      <c r="H1499" s="4">
        <v>13</v>
      </c>
      <c r="I1499" t="str">
        <f t="shared" si="23"/>
        <v>Cynoscion virescensSeatrout</v>
      </c>
    </row>
    <row r="1500" spans="1:9" x14ac:dyDescent="0.35">
      <c r="A1500">
        <v>25</v>
      </c>
      <c r="B1500">
        <v>2017</v>
      </c>
      <c r="C1500">
        <v>12</v>
      </c>
      <c r="D1500" t="s">
        <v>174</v>
      </c>
      <c r="E1500" t="s">
        <v>349</v>
      </c>
      <c r="F1500" t="s">
        <v>43</v>
      </c>
      <c r="G1500" t="s">
        <v>57</v>
      </c>
      <c r="H1500" s="4">
        <v>10</v>
      </c>
      <c r="I1500" t="str">
        <f t="shared" si="23"/>
        <v>Cynoscion virescensSeatrout</v>
      </c>
    </row>
    <row r="1501" spans="1:9" x14ac:dyDescent="0.35">
      <c r="A1501">
        <v>25</v>
      </c>
      <c r="B1501">
        <v>2017</v>
      </c>
      <c r="C1501">
        <v>12</v>
      </c>
      <c r="D1501" t="s">
        <v>174</v>
      </c>
      <c r="E1501" t="s">
        <v>349</v>
      </c>
      <c r="F1501" t="s">
        <v>43</v>
      </c>
      <c r="G1501" t="s">
        <v>57</v>
      </c>
      <c r="H1501" s="4">
        <v>9</v>
      </c>
      <c r="I1501" t="str">
        <f t="shared" si="23"/>
        <v>Cynoscion virescensSeatrout</v>
      </c>
    </row>
    <row r="1502" spans="1:9" x14ac:dyDescent="0.35">
      <c r="A1502">
        <v>25</v>
      </c>
      <c r="B1502">
        <v>2017</v>
      </c>
      <c r="C1502">
        <v>12</v>
      </c>
      <c r="D1502" t="s">
        <v>174</v>
      </c>
      <c r="E1502" t="s">
        <v>349</v>
      </c>
      <c r="F1502" t="s">
        <v>58</v>
      </c>
      <c r="G1502" t="s">
        <v>59</v>
      </c>
      <c r="H1502" s="4">
        <v>13</v>
      </c>
      <c r="I1502" t="str">
        <f t="shared" si="23"/>
        <v>Stellifer rastriferRockhead</v>
      </c>
    </row>
    <row r="1503" spans="1:9" x14ac:dyDescent="0.35">
      <c r="A1503">
        <v>25</v>
      </c>
      <c r="B1503">
        <v>2017</v>
      </c>
      <c r="C1503">
        <v>12</v>
      </c>
      <c r="D1503" t="s">
        <v>174</v>
      </c>
      <c r="E1503" t="s">
        <v>349</v>
      </c>
      <c r="F1503" t="s">
        <v>58</v>
      </c>
      <c r="G1503" t="s">
        <v>59</v>
      </c>
      <c r="H1503" s="4">
        <v>15</v>
      </c>
      <c r="I1503" t="str">
        <f t="shared" si="23"/>
        <v>Stellifer rastriferRockhead</v>
      </c>
    </row>
    <row r="1504" spans="1:9" x14ac:dyDescent="0.35">
      <c r="A1504">
        <v>25</v>
      </c>
      <c r="B1504">
        <v>2017</v>
      </c>
      <c r="C1504">
        <v>12</v>
      </c>
      <c r="D1504" t="s">
        <v>174</v>
      </c>
      <c r="E1504" t="s">
        <v>349</v>
      </c>
      <c r="F1504" t="s">
        <v>58</v>
      </c>
      <c r="G1504" t="s">
        <v>59</v>
      </c>
      <c r="H1504" s="4">
        <v>13</v>
      </c>
      <c r="I1504" t="str">
        <f t="shared" si="23"/>
        <v>Stellifer rastriferRockhead</v>
      </c>
    </row>
    <row r="1505" spans="1:9" x14ac:dyDescent="0.35">
      <c r="A1505">
        <v>25</v>
      </c>
      <c r="B1505">
        <v>2017</v>
      </c>
      <c r="C1505">
        <v>12</v>
      </c>
      <c r="D1505" t="s">
        <v>174</v>
      </c>
      <c r="E1505" t="s">
        <v>349</v>
      </c>
      <c r="F1505" t="s">
        <v>58</v>
      </c>
      <c r="G1505" t="s">
        <v>59</v>
      </c>
      <c r="H1505" s="4">
        <v>13.5</v>
      </c>
      <c r="I1505" t="str">
        <f t="shared" si="23"/>
        <v>Stellifer rastriferRockhead</v>
      </c>
    </row>
    <row r="1506" spans="1:9" x14ac:dyDescent="0.35">
      <c r="A1506">
        <v>25</v>
      </c>
      <c r="B1506">
        <v>2017</v>
      </c>
      <c r="C1506">
        <v>12</v>
      </c>
      <c r="D1506" t="s">
        <v>174</v>
      </c>
      <c r="E1506" t="s">
        <v>349</v>
      </c>
      <c r="F1506" t="s">
        <v>58</v>
      </c>
      <c r="G1506" t="s">
        <v>59</v>
      </c>
      <c r="H1506" s="4">
        <v>14</v>
      </c>
      <c r="I1506" t="str">
        <f t="shared" si="23"/>
        <v>Stellifer rastriferRockhead</v>
      </c>
    </row>
    <row r="1507" spans="1:9" x14ac:dyDescent="0.35">
      <c r="A1507">
        <v>25</v>
      </c>
      <c r="B1507">
        <v>2017</v>
      </c>
      <c r="C1507">
        <v>12</v>
      </c>
      <c r="D1507" t="s">
        <v>174</v>
      </c>
      <c r="E1507" t="s">
        <v>349</v>
      </c>
      <c r="F1507" t="s">
        <v>58</v>
      </c>
      <c r="G1507" t="s">
        <v>59</v>
      </c>
      <c r="H1507" s="4">
        <v>11</v>
      </c>
      <c r="I1507" t="str">
        <f t="shared" si="23"/>
        <v>Stellifer rastriferRockhead</v>
      </c>
    </row>
    <row r="1508" spans="1:9" x14ac:dyDescent="0.35">
      <c r="A1508">
        <v>25</v>
      </c>
      <c r="B1508">
        <v>2017</v>
      </c>
      <c r="C1508">
        <v>12</v>
      </c>
      <c r="D1508" t="s">
        <v>174</v>
      </c>
      <c r="E1508" t="s">
        <v>349</v>
      </c>
      <c r="F1508" t="s">
        <v>58</v>
      </c>
      <c r="G1508" t="s">
        <v>59</v>
      </c>
      <c r="H1508" s="4">
        <v>13</v>
      </c>
      <c r="I1508" t="str">
        <f t="shared" si="23"/>
        <v>Stellifer rastriferRockhead</v>
      </c>
    </row>
    <row r="1509" spans="1:9" x14ac:dyDescent="0.35">
      <c r="A1509">
        <v>25</v>
      </c>
      <c r="B1509">
        <v>2017</v>
      </c>
      <c r="C1509">
        <v>12</v>
      </c>
      <c r="D1509" t="s">
        <v>174</v>
      </c>
      <c r="E1509" t="s">
        <v>349</v>
      </c>
      <c r="F1509" t="s">
        <v>58</v>
      </c>
      <c r="G1509" t="s">
        <v>59</v>
      </c>
      <c r="H1509" s="4">
        <v>13</v>
      </c>
      <c r="I1509" t="str">
        <f t="shared" si="23"/>
        <v>Stellifer rastriferRockhead</v>
      </c>
    </row>
    <row r="1510" spans="1:9" x14ac:dyDescent="0.35">
      <c r="A1510">
        <v>25</v>
      </c>
      <c r="B1510">
        <v>2017</v>
      </c>
      <c r="C1510">
        <v>12</v>
      </c>
      <c r="D1510" t="s">
        <v>174</v>
      </c>
      <c r="E1510" t="s">
        <v>349</v>
      </c>
      <c r="F1510" t="s">
        <v>58</v>
      </c>
      <c r="G1510" t="s">
        <v>59</v>
      </c>
      <c r="H1510" s="4">
        <v>8</v>
      </c>
      <c r="I1510" t="str">
        <f t="shared" si="23"/>
        <v>Stellifer rastriferRockhead</v>
      </c>
    </row>
    <row r="1511" spans="1:9" x14ac:dyDescent="0.35">
      <c r="A1511">
        <v>25</v>
      </c>
      <c r="B1511">
        <v>2017</v>
      </c>
      <c r="C1511">
        <v>12</v>
      </c>
      <c r="D1511" t="s">
        <v>174</v>
      </c>
      <c r="E1511" t="s">
        <v>349</v>
      </c>
      <c r="F1511" t="s">
        <v>58</v>
      </c>
      <c r="G1511" t="s">
        <v>59</v>
      </c>
      <c r="H1511" s="4">
        <v>9</v>
      </c>
      <c r="I1511" t="str">
        <f t="shared" si="23"/>
        <v>Stellifer rastriferRockhead</v>
      </c>
    </row>
    <row r="1512" spans="1:9" x14ac:dyDescent="0.35">
      <c r="A1512">
        <v>25</v>
      </c>
      <c r="B1512">
        <v>2017</v>
      </c>
      <c r="C1512">
        <v>12</v>
      </c>
      <c r="D1512" t="s">
        <v>174</v>
      </c>
      <c r="E1512" t="s">
        <v>349</v>
      </c>
      <c r="F1512" t="s">
        <v>58</v>
      </c>
      <c r="G1512" t="s">
        <v>59</v>
      </c>
      <c r="H1512" s="4">
        <v>11</v>
      </c>
      <c r="I1512" t="str">
        <f t="shared" si="23"/>
        <v>Stellifer rastriferRockhead</v>
      </c>
    </row>
    <row r="1513" spans="1:9" x14ac:dyDescent="0.35">
      <c r="A1513">
        <v>25</v>
      </c>
      <c r="B1513">
        <v>2017</v>
      </c>
      <c r="C1513">
        <v>12</v>
      </c>
      <c r="D1513" t="s">
        <v>174</v>
      </c>
      <c r="E1513" t="s">
        <v>349</v>
      </c>
      <c r="F1513" t="s">
        <v>58</v>
      </c>
      <c r="G1513" t="s">
        <v>59</v>
      </c>
      <c r="H1513" s="4">
        <v>12.5</v>
      </c>
      <c r="I1513" t="str">
        <f t="shared" si="23"/>
        <v>Stellifer rastriferRockhead</v>
      </c>
    </row>
    <row r="1514" spans="1:9" x14ac:dyDescent="0.35">
      <c r="A1514">
        <v>25</v>
      </c>
      <c r="B1514">
        <v>2017</v>
      </c>
      <c r="C1514">
        <v>12</v>
      </c>
      <c r="D1514" t="s">
        <v>174</v>
      </c>
      <c r="E1514" t="s">
        <v>349</v>
      </c>
      <c r="F1514" t="s">
        <v>58</v>
      </c>
      <c r="G1514" t="s">
        <v>59</v>
      </c>
      <c r="H1514" s="4">
        <v>11</v>
      </c>
      <c r="I1514" t="str">
        <f t="shared" si="23"/>
        <v>Stellifer rastriferRockhead</v>
      </c>
    </row>
    <row r="1515" spans="1:9" x14ac:dyDescent="0.35">
      <c r="A1515">
        <v>25</v>
      </c>
      <c r="B1515">
        <v>2017</v>
      </c>
      <c r="C1515">
        <v>12</v>
      </c>
      <c r="D1515" t="s">
        <v>174</v>
      </c>
      <c r="E1515" t="s">
        <v>349</v>
      </c>
      <c r="F1515" t="s">
        <v>58</v>
      </c>
      <c r="G1515" t="s">
        <v>59</v>
      </c>
      <c r="H1515" s="4">
        <v>13</v>
      </c>
      <c r="I1515" t="str">
        <f t="shared" si="23"/>
        <v>Stellifer rastriferRockhead</v>
      </c>
    </row>
    <row r="1516" spans="1:9" x14ac:dyDescent="0.35">
      <c r="A1516">
        <v>25</v>
      </c>
      <c r="B1516">
        <v>2017</v>
      </c>
      <c r="C1516">
        <v>12</v>
      </c>
      <c r="D1516" t="s">
        <v>174</v>
      </c>
      <c r="E1516" t="s">
        <v>349</v>
      </c>
      <c r="F1516" t="s">
        <v>58</v>
      </c>
      <c r="G1516" t="s">
        <v>59</v>
      </c>
      <c r="H1516" s="4">
        <v>12</v>
      </c>
      <c r="I1516" t="str">
        <f t="shared" si="23"/>
        <v>Stellifer rastriferRockhead</v>
      </c>
    </row>
    <row r="1517" spans="1:9" x14ac:dyDescent="0.35">
      <c r="A1517">
        <v>25</v>
      </c>
      <c r="B1517">
        <v>2017</v>
      </c>
      <c r="C1517">
        <v>12</v>
      </c>
      <c r="D1517" t="s">
        <v>174</v>
      </c>
      <c r="E1517" t="s">
        <v>349</v>
      </c>
      <c r="F1517" t="s">
        <v>58</v>
      </c>
      <c r="G1517" t="s">
        <v>59</v>
      </c>
      <c r="H1517" s="4">
        <v>14</v>
      </c>
      <c r="I1517" t="str">
        <f t="shared" si="23"/>
        <v>Stellifer rastriferRockhead</v>
      </c>
    </row>
    <row r="1518" spans="1:9" x14ac:dyDescent="0.35">
      <c r="A1518">
        <v>25</v>
      </c>
      <c r="B1518">
        <v>2017</v>
      </c>
      <c r="C1518">
        <v>12</v>
      </c>
      <c r="D1518" t="s">
        <v>174</v>
      </c>
      <c r="E1518" t="s">
        <v>349</v>
      </c>
      <c r="F1518" t="s">
        <v>58</v>
      </c>
      <c r="G1518" t="s">
        <v>59</v>
      </c>
      <c r="H1518" s="4">
        <v>12</v>
      </c>
      <c r="I1518" t="str">
        <f t="shared" si="23"/>
        <v>Stellifer rastriferRockhead</v>
      </c>
    </row>
    <row r="1519" spans="1:9" x14ac:dyDescent="0.35">
      <c r="A1519">
        <v>25</v>
      </c>
      <c r="B1519">
        <v>2017</v>
      </c>
      <c r="C1519">
        <v>12</v>
      </c>
      <c r="D1519" t="s">
        <v>174</v>
      </c>
      <c r="E1519" t="s">
        <v>349</v>
      </c>
      <c r="F1519" t="s">
        <v>58</v>
      </c>
      <c r="G1519" t="s">
        <v>59</v>
      </c>
      <c r="H1519" s="4">
        <v>15</v>
      </c>
      <c r="I1519" t="str">
        <f t="shared" si="23"/>
        <v>Stellifer rastriferRockhead</v>
      </c>
    </row>
    <row r="1520" spans="1:9" x14ac:dyDescent="0.35">
      <c r="A1520">
        <v>25</v>
      </c>
      <c r="B1520">
        <v>2017</v>
      </c>
      <c r="C1520">
        <v>12</v>
      </c>
      <c r="D1520" t="s">
        <v>174</v>
      </c>
      <c r="E1520" t="s">
        <v>349</v>
      </c>
      <c r="F1520" t="s">
        <v>58</v>
      </c>
      <c r="G1520" t="s">
        <v>59</v>
      </c>
      <c r="H1520" s="4">
        <v>9</v>
      </c>
      <c r="I1520" t="str">
        <f t="shared" si="23"/>
        <v>Stellifer rastriferRockhead</v>
      </c>
    </row>
    <row r="1521" spans="1:9" x14ac:dyDescent="0.35">
      <c r="A1521">
        <v>25</v>
      </c>
      <c r="B1521">
        <v>2017</v>
      </c>
      <c r="C1521">
        <v>12</v>
      </c>
      <c r="D1521" t="s">
        <v>174</v>
      </c>
      <c r="E1521" t="s">
        <v>349</v>
      </c>
      <c r="F1521" t="s">
        <v>58</v>
      </c>
      <c r="G1521" t="s">
        <v>59</v>
      </c>
      <c r="H1521" s="4">
        <v>11</v>
      </c>
      <c r="I1521" t="str">
        <f t="shared" si="23"/>
        <v>Stellifer rastriferRockhead</v>
      </c>
    </row>
    <row r="1522" spans="1:9" x14ac:dyDescent="0.35">
      <c r="A1522">
        <v>25</v>
      </c>
      <c r="B1522">
        <v>2017</v>
      </c>
      <c r="C1522">
        <v>12</v>
      </c>
      <c r="D1522" t="s">
        <v>174</v>
      </c>
      <c r="E1522" t="s">
        <v>349</v>
      </c>
      <c r="F1522" t="s">
        <v>58</v>
      </c>
      <c r="G1522" t="s">
        <v>59</v>
      </c>
      <c r="H1522" s="4">
        <v>12</v>
      </c>
      <c r="I1522" t="str">
        <f t="shared" si="23"/>
        <v>Stellifer rastriferRockhead</v>
      </c>
    </row>
    <row r="1523" spans="1:9" x14ac:dyDescent="0.35">
      <c r="A1523">
        <v>25</v>
      </c>
      <c r="B1523">
        <v>2017</v>
      </c>
      <c r="C1523">
        <v>12</v>
      </c>
      <c r="D1523" t="s">
        <v>174</v>
      </c>
      <c r="E1523" t="s">
        <v>349</v>
      </c>
      <c r="F1523" t="s">
        <v>58</v>
      </c>
      <c r="G1523" t="s">
        <v>59</v>
      </c>
      <c r="H1523" s="4">
        <v>13</v>
      </c>
      <c r="I1523" t="str">
        <f t="shared" si="23"/>
        <v>Stellifer rastriferRockhead</v>
      </c>
    </row>
    <row r="1524" spans="1:9" x14ac:dyDescent="0.35">
      <c r="A1524">
        <v>25</v>
      </c>
      <c r="B1524">
        <v>2017</v>
      </c>
      <c r="C1524">
        <v>12</v>
      </c>
      <c r="D1524" t="s">
        <v>174</v>
      </c>
      <c r="E1524" t="s">
        <v>349</v>
      </c>
      <c r="F1524" t="s">
        <v>58</v>
      </c>
      <c r="G1524" t="s">
        <v>59</v>
      </c>
      <c r="H1524" s="4">
        <v>12.5</v>
      </c>
      <c r="I1524" t="str">
        <f t="shared" si="23"/>
        <v>Stellifer rastriferRockhead</v>
      </c>
    </row>
    <row r="1525" spans="1:9" x14ac:dyDescent="0.35">
      <c r="A1525">
        <v>25</v>
      </c>
      <c r="B1525">
        <v>2017</v>
      </c>
      <c r="C1525">
        <v>12</v>
      </c>
      <c r="D1525" t="s">
        <v>174</v>
      </c>
      <c r="E1525" t="s">
        <v>349</v>
      </c>
      <c r="F1525" t="s">
        <v>58</v>
      </c>
      <c r="G1525" t="s">
        <v>59</v>
      </c>
      <c r="H1525" s="4">
        <v>14</v>
      </c>
      <c r="I1525" t="str">
        <f t="shared" si="23"/>
        <v>Stellifer rastriferRockhead</v>
      </c>
    </row>
    <row r="1526" spans="1:9" x14ac:dyDescent="0.35">
      <c r="A1526">
        <v>25</v>
      </c>
      <c r="B1526">
        <v>2017</v>
      </c>
      <c r="C1526">
        <v>12</v>
      </c>
      <c r="D1526" t="s">
        <v>174</v>
      </c>
      <c r="E1526" t="s">
        <v>349</v>
      </c>
      <c r="F1526" t="s">
        <v>58</v>
      </c>
      <c r="G1526" t="s">
        <v>59</v>
      </c>
      <c r="H1526" s="4">
        <v>14</v>
      </c>
      <c r="I1526" t="str">
        <f t="shared" si="23"/>
        <v>Stellifer rastriferRockhead</v>
      </c>
    </row>
    <row r="1527" spans="1:9" x14ac:dyDescent="0.35">
      <c r="A1527">
        <v>25</v>
      </c>
      <c r="B1527">
        <v>2017</v>
      </c>
      <c r="C1527">
        <v>12</v>
      </c>
      <c r="D1527" t="s">
        <v>174</v>
      </c>
      <c r="E1527" t="s">
        <v>349</v>
      </c>
      <c r="F1527" t="s">
        <v>58</v>
      </c>
      <c r="G1527" t="s">
        <v>59</v>
      </c>
      <c r="H1527" s="4">
        <v>13.5</v>
      </c>
      <c r="I1527" t="str">
        <f t="shared" si="23"/>
        <v>Stellifer rastriferRockhead</v>
      </c>
    </row>
    <row r="1528" spans="1:9" x14ac:dyDescent="0.35">
      <c r="A1528">
        <v>25</v>
      </c>
      <c r="B1528">
        <v>2017</v>
      </c>
      <c r="C1528">
        <v>12</v>
      </c>
      <c r="D1528" t="s">
        <v>174</v>
      </c>
      <c r="E1528" t="s">
        <v>349</v>
      </c>
      <c r="F1528" t="s">
        <v>58</v>
      </c>
      <c r="G1528" t="s">
        <v>59</v>
      </c>
      <c r="H1528" s="4">
        <v>13.5</v>
      </c>
      <c r="I1528" t="str">
        <f t="shared" si="23"/>
        <v>Stellifer rastriferRockhead</v>
      </c>
    </row>
    <row r="1529" spans="1:9" x14ac:dyDescent="0.35">
      <c r="A1529">
        <v>25</v>
      </c>
      <c r="B1529">
        <v>2017</v>
      </c>
      <c r="C1529">
        <v>12</v>
      </c>
      <c r="D1529" t="s">
        <v>174</v>
      </c>
      <c r="E1529" t="s">
        <v>349</v>
      </c>
      <c r="F1529" t="s">
        <v>58</v>
      </c>
      <c r="G1529" t="s">
        <v>59</v>
      </c>
      <c r="H1529" s="4">
        <v>12</v>
      </c>
      <c r="I1529" t="str">
        <f t="shared" si="23"/>
        <v>Stellifer rastriferRockhead</v>
      </c>
    </row>
    <row r="1530" spans="1:9" x14ac:dyDescent="0.35">
      <c r="A1530">
        <v>25</v>
      </c>
      <c r="B1530">
        <v>2017</v>
      </c>
      <c r="C1530">
        <v>12</v>
      </c>
      <c r="D1530" t="s">
        <v>174</v>
      </c>
      <c r="E1530" t="s">
        <v>349</v>
      </c>
      <c r="F1530" t="s">
        <v>58</v>
      </c>
      <c r="G1530" t="s">
        <v>59</v>
      </c>
      <c r="H1530" s="4">
        <v>13</v>
      </c>
      <c r="I1530" t="str">
        <f t="shared" si="23"/>
        <v>Stellifer rastriferRockhead</v>
      </c>
    </row>
    <row r="1531" spans="1:9" x14ac:dyDescent="0.35">
      <c r="A1531">
        <v>25</v>
      </c>
      <c r="B1531">
        <v>2017</v>
      </c>
      <c r="C1531">
        <v>12</v>
      </c>
      <c r="D1531" t="s">
        <v>174</v>
      </c>
      <c r="E1531" t="s">
        <v>349</v>
      </c>
      <c r="F1531" t="s">
        <v>58</v>
      </c>
      <c r="G1531" t="s">
        <v>59</v>
      </c>
      <c r="H1531" s="4">
        <v>13</v>
      </c>
      <c r="I1531" t="str">
        <f t="shared" si="23"/>
        <v>Stellifer rastriferRockhead</v>
      </c>
    </row>
    <row r="1532" spans="1:9" x14ac:dyDescent="0.35">
      <c r="A1532">
        <v>25</v>
      </c>
      <c r="B1532">
        <v>2017</v>
      </c>
      <c r="C1532">
        <v>12</v>
      </c>
      <c r="D1532" t="s">
        <v>174</v>
      </c>
      <c r="E1532" t="s">
        <v>349</v>
      </c>
      <c r="F1532" t="s">
        <v>58</v>
      </c>
      <c r="G1532" t="s">
        <v>59</v>
      </c>
      <c r="H1532" s="4">
        <v>13</v>
      </c>
      <c r="I1532" t="str">
        <f t="shared" si="23"/>
        <v>Stellifer rastriferRockhead</v>
      </c>
    </row>
    <row r="1533" spans="1:9" x14ac:dyDescent="0.35">
      <c r="A1533">
        <v>25</v>
      </c>
      <c r="B1533">
        <v>2017</v>
      </c>
      <c r="C1533">
        <v>12</v>
      </c>
      <c r="D1533" t="s">
        <v>174</v>
      </c>
      <c r="E1533" t="s">
        <v>349</v>
      </c>
      <c r="F1533" t="s">
        <v>58</v>
      </c>
      <c r="G1533" t="s">
        <v>59</v>
      </c>
      <c r="H1533" s="4">
        <v>14</v>
      </c>
      <c r="I1533" t="str">
        <f t="shared" si="23"/>
        <v>Stellifer rastriferRockhead</v>
      </c>
    </row>
    <row r="1534" spans="1:9" x14ac:dyDescent="0.35">
      <c r="A1534">
        <v>26</v>
      </c>
      <c r="B1534">
        <v>2018</v>
      </c>
      <c r="C1534">
        <v>1</v>
      </c>
      <c r="D1534" t="s">
        <v>175</v>
      </c>
      <c r="E1534" t="s">
        <v>349</v>
      </c>
      <c r="F1534" t="s">
        <v>280</v>
      </c>
      <c r="G1534" t="s">
        <v>301</v>
      </c>
      <c r="H1534" s="4">
        <v>5</v>
      </c>
      <c r="I1534" t="str">
        <f t="shared" si="23"/>
        <v>Anchoviella lepidentosoleBroad striped anchovy</v>
      </c>
    </row>
    <row r="1535" spans="1:9" x14ac:dyDescent="0.35">
      <c r="A1535">
        <v>26</v>
      </c>
      <c r="B1535">
        <v>2018</v>
      </c>
      <c r="C1535">
        <v>1</v>
      </c>
      <c r="D1535" t="s">
        <v>175</v>
      </c>
      <c r="E1535" t="s">
        <v>349</v>
      </c>
      <c r="F1535" t="s">
        <v>280</v>
      </c>
      <c r="G1535" t="s">
        <v>301</v>
      </c>
      <c r="H1535" s="4">
        <v>5</v>
      </c>
      <c r="I1535" t="str">
        <f t="shared" si="23"/>
        <v>Anchoviella lepidentosoleBroad striped anchovy</v>
      </c>
    </row>
    <row r="1536" spans="1:9" x14ac:dyDescent="0.35">
      <c r="A1536">
        <v>26</v>
      </c>
      <c r="B1536">
        <v>2018</v>
      </c>
      <c r="C1536">
        <v>1</v>
      </c>
      <c r="D1536" t="s">
        <v>175</v>
      </c>
      <c r="E1536" t="s">
        <v>349</v>
      </c>
      <c r="F1536" t="s">
        <v>280</v>
      </c>
      <c r="G1536" t="s">
        <v>301</v>
      </c>
      <c r="H1536" s="4">
        <v>5</v>
      </c>
      <c r="I1536" t="str">
        <f t="shared" si="23"/>
        <v>Anchoviella lepidentosoleBroad striped anchovy</v>
      </c>
    </row>
    <row r="1537" spans="1:9" x14ac:dyDescent="0.35">
      <c r="A1537">
        <v>26</v>
      </c>
      <c r="B1537">
        <v>2018</v>
      </c>
      <c r="C1537">
        <v>1</v>
      </c>
      <c r="D1537" t="s">
        <v>175</v>
      </c>
      <c r="E1537" t="s">
        <v>349</v>
      </c>
      <c r="F1537" t="s">
        <v>280</v>
      </c>
      <c r="G1537" t="s">
        <v>301</v>
      </c>
      <c r="H1537" s="4">
        <v>5</v>
      </c>
      <c r="I1537" t="str">
        <f t="shared" si="23"/>
        <v>Anchoviella lepidentosoleBroad striped anchovy</v>
      </c>
    </row>
    <row r="1538" spans="1:9" x14ac:dyDescent="0.35">
      <c r="A1538">
        <v>26</v>
      </c>
      <c r="B1538">
        <v>2018</v>
      </c>
      <c r="C1538">
        <v>1</v>
      </c>
      <c r="D1538" t="s">
        <v>175</v>
      </c>
      <c r="E1538" t="s">
        <v>349</v>
      </c>
      <c r="F1538" t="s">
        <v>280</v>
      </c>
      <c r="G1538" t="s">
        <v>301</v>
      </c>
      <c r="H1538" s="4">
        <v>5</v>
      </c>
      <c r="I1538" t="str">
        <f t="shared" ref="I1538:I1601" si="24">CONCATENATE(F1538,G1538)</f>
        <v>Anchoviella lepidentosoleBroad striped anchovy</v>
      </c>
    </row>
    <row r="1539" spans="1:9" x14ac:dyDescent="0.35">
      <c r="A1539">
        <v>26</v>
      </c>
      <c r="B1539">
        <v>2018</v>
      </c>
      <c r="C1539">
        <v>1</v>
      </c>
      <c r="D1539" t="s">
        <v>175</v>
      </c>
      <c r="E1539" t="s">
        <v>349</v>
      </c>
      <c r="F1539" t="s">
        <v>280</v>
      </c>
      <c r="G1539" t="s">
        <v>301</v>
      </c>
      <c r="H1539" s="4">
        <v>5</v>
      </c>
      <c r="I1539" t="str">
        <f t="shared" si="24"/>
        <v>Anchoviella lepidentosoleBroad striped anchovy</v>
      </c>
    </row>
    <row r="1540" spans="1:9" x14ac:dyDescent="0.35">
      <c r="A1540">
        <v>26</v>
      </c>
      <c r="B1540">
        <v>2018</v>
      </c>
      <c r="C1540">
        <v>1</v>
      </c>
      <c r="D1540" t="s">
        <v>175</v>
      </c>
      <c r="E1540" t="s">
        <v>349</v>
      </c>
      <c r="F1540" t="s">
        <v>280</v>
      </c>
      <c r="G1540" t="s">
        <v>301</v>
      </c>
      <c r="H1540" s="4">
        <v>6</v>
      </c>
      <c r="I1540" t="str">
        <f t="shared" si="24"/>
        <v>Anchoviella lepidentosoleBroad striped anchovy</v>
      </c>
    </row>
    <row r="1541" spans="1:9" x14ac:dyDescent="0.35">
      <c r="A1541">
        <v>26</v>
      </c>
      <c r="B1541">
        <v>2018</v>
      </c>
      <c r="C1541">
        <v>1</v>
      </c>
      <c r="D1541" t="s">
        <v>175</v>
      </c>
      <c r="E1541" t="s">
        <v>349</v>
      </c>
      <c r="F1541" t="s">
        <v>280</v>
      </c>
      <c r="G1541" t="s">
        <v>301</v>
      </c>
      <c r="H1541" s="4">
        <v>6</v>
      </c>
      <c r="I1541" t="str">
        <f t="shared" si="24"/>
        <v>Anchoviella lepidentosoleBroad striped anchovy</v>
      </c>
    </row>
    <row r="1542" spans="1:9" x14ac:dyDescent="0.35">
      <c r="A1542">
        <v>26</v>
      </c>
      <c r="B1542">
        <v>2018</v>
      </c>
      <c r="C1542">
        <v>1</v>
      </c>
      <c r="D1542" t="s">
        <v>175</v>
      </c>
      <c r="E1542" t="s">
        <v>349</v>
      </c>
      <c r="F1542" t="s">
        <v>280</v>
      </c>
      <c r="G1542" t="s">
        <v>301</v>
      </c>
      <c r="H1542" s="4">
        <v>6</v>
      </c>
      <c r="I1542" t="str">
        <f t="shared" si="24"/>
        <v>Anchoviella lepidentosoleBroad striped anchovy</v>
      </c>
    </row>
    <row r="1543" spans="1:9" x14ac:dyDescent="0.35">
      <c r="A1543">
        <v>26</v>
      </c>
      <c r="B1543">
        <v>2018</v>
      </c>
      <c r="C1543">
        <v>1</v>
      </c>
      <c r="D1543" t="s">
        <v>175</v>
      </c>
      <c r="E1543" t="s">
        <v>349</v>
      </c>
      <c r="F1543" t="s">
        <v>280</v>
      </c>
      <c r="G1543" t="s">
        <v>301</v>
      </c>
      <c r="H1543" s="4">
        <v>6</v>
      </c>
      <c r="I1543" t="str">
        <f t="shared" si="24"/>
        <v>Anchoviella lepidentosoleBroad striped anchovy</v>
      </c>
    </row>
    <row r="1544" spans="1:9" x14ac:dyDescent="0.35">
      <c r="A1544">
        <v>26</v>
      </c>
      <c r="B1544">
        <v>2018</v>
      </c>
      <c r="C1544">
        <v>1</v>
      </c>
      <c r="D1544" t="s">
        <v>175</v>
      </c>
      <c r="E1544" t="s">
        <v>349</v>
      </c>
      <c r="F1544" t="s">
        <v>280</v>
      </c>
      <c r="G1544" t="s">
        <v>301</v>
      </c>
      <c r="H1544" s="4">
        <v>6</v>
      </c>
      <c r="I1544" t="str">
        <f t="shared" si="24"/>
        <v>Anchoviella lepidentosoleBroad striped anchovy</v>
      </c>
    </row>
    <row r="1545" spans="1:9" x14ac:dyDescent="0.35">
      <c r="A1545">
        <v>26</v>
      </c>
      <c r="B1545">
        <v>2018</v>
      </c>
      <c r="C1545">
        <v>1</v>
      </c>
      <c r="D1545" t="s">
        <v>175</v>
      </c>
      <c r="E1545" t="s">
        <v>349</v>
      </c>
      <c r="F1545" t="s">
        <v>280</v>
      </c>
      <c r="G1545" t="s">
        <v>301</v>
      </c>
      <c r="H1545" s="4">
        <v>6</v>
      </c>
      <c r="I1545" t="str">
        <f t="shared" si="24"/>
        <v>Anchoviella lepidentosoleBroad striped anchovy</v>
      </c>
    </row>
    <row r="1546" spans="1:9" x14ac:dyDescent="0.35">
      <c r="A1546">
        <v>26</v>
      </c>
      <c r="B1546">
        <v>2018</v>
      </c>
      <c r="C1546">
        <v>1</v>
      </c>
      <c r="D1546" t="s">
        <v>175</v>
      </c>
      <c r="E1546" t="s">
        <v>349</v>
      </c>
      <c r="F1546" t="s">
        <v>280</v>
      </c>
      <c r="G1546" t="s">
        <v>301</v>
      </c>
      <c r="H1546" s="4">
        <v>6</v>
      </c>
      <c r="I1546" t="str">
        <f t="shared" si="24"/>
        <v>Anchoviella lepidentosoleBroad striped anchovy</v>
      </c>
    </row>
    <row r="1547" spans="1:9" x14ac:dyDescent="0.35">
      <c r="A1547">
        <v>26</v>
      </c>
      <c r="B1547">
        <v>2018</v>
      </c>
      <c r="C1547">
        <v>1</v>
      </c>
      <c r="D1547" t="s">
        <v>175</v>
      </c>
      <c r="E1547" t="s">
        <v>349</v>
      </c>
      <c r="F1547" t="s">
        <v>280</v>
      </c>
      <c r="G1547" t="s">
        <v>301</v>
      </c>
      <c r="H1547" s="4">
        <v>6</v>
      </c>
      <c r="I1547" t="str">
        <f t="shared" si="24"/>
        <v>Anchoviella lepidentosoleBroad striped anchovy</v>
      </c>
    </row>
    <row r="1548" spans="1:9" x14ac:dyDescent="0.35">
      <c r="A1548">
        <v>26</v>
      </c>
      <c r="B1548">
        <v>2018</v>
      </c>
      <c r="C1548">
        <v>1</v>
      </c>
      <c r="D1548" t="s">
        <v>175</v>
      </c>
      <c r="E1548" t="s">
        <v>349</v>
      </c>
      <c r="F1548" t="s">
        <v>280</v>
      </c>
      <c r="G1548" t="s">
        <v>301</v>
      </c>
      <c r="H1548" s="4">
        <v>6</v>
      </c>
      <c r="I1548" t="str">
        <f t="shared" si="24"/>
        <v>Anchoviella lepidentosoleBroad striped anchovy</v>
      </c>
    </row>
    <row r="1549" spans="1:9" x14ac:dyDescent="0.35">
      <c r="A1549">
        <v>26</v>
      </c>
      <c r="B1549">
        <v>2018</v>
      </c>
      <c r="C1549">
        <v>1</v>
      </c>
      <c r="D1549" t="s">
        <v>175</v>
      </c>
      <c r="E1549" t="s">
        <v>349</v>
      </c>
      <c r="F1549" t="s">
        <v>280</v>
      </c>
      <c r="G1549" t="s">
        <v>301</v>
      </c>
      <c r="H1549" s="4">
        <v>6</v>
      </c>
      <c r="I1549" t="str">
        <f t="shared" si="24"/>
        <v>Anchoviella lepidentosoleBroad striped anchovy</v>
      </c>
    </row>
    <row r="1550" spans="1:9" x14ac:dyDescent="0.35">
      <c r="A1550">
        <v>26</v>
      </c>
      <c r="B1550">
        <v>2018</v>
      </c>
      <c r="C1550">
        <v>1</v>
      </c>
      <c r="D1550" t="s">
        <v>175</v>
      </c>
      <c r="E1550" t="s">
        <v>349</v>
      </c>
      <c r="F1550" t="s">
        <v>280</v>
      </c>
      <c r="G1550" t="s">
        <v>301</v>
      </c>
      <c r="H1550" s="4">
        <v>6</v>
      </c>
      <c r="I1550" t="str">
        <f t="shared" si="24"/>
        <v>Anchoviella lepidentosoleBroad striped anchovy</v>
      </c>
    </row>
    <row r="1551" spans="1:9" x14ac:dyDescent="0.35">
      <c r="A1551">
        <v>26</v>
      </c>
      <c r="B1551">
        <v>2018</v>
      </c>
      <c r="C1551">
        <v>1</v>
      </c>
      <c r="D1551" t="s">
        <v>175</v>
      </c>
      <c r="E1551" t="s">
        <v>349</v>
      </c>
      <c r="F1551" t="s">
        <v>280</v>
      </c>
      <c r="G1551" t="s">
        <v>301</v>
      </c>
      <c r="H1551" s="4">
        <v>6</v>
      </c>
      <c r="I1551" t="str">
        <f t="shared" si="24"/>
        <v>Anchoviella lepidentosoleBroad striped anchovy</v>
      </c>
    </row>
    <row r="1552" spans="1:9" x14ac:dyDescent="0.35">
      <c r="A1552">
        <v>26</v>
      </c>
      <c r="B1552">
        <v>2018</v>
      </c>
      <c r="C1552">
        <v>1</v>
      </c>
      <c r="D1552" t="s">
        <v>175</v>
      </c>
      <c r="E1552" t="s">
        <v>349</v>
      </c>
      <c r="F1552" t="s">
        <v>280</v>
      </c>
      <c r="G1552" t="s">
        <v>301</v>
      </c>
      <c r="H1552" s="4">
        <v>6</v>
      </c>
      <c r="I1552" t="str">
        <f t="shared" si="24"/>
        <v>Anchoviella lepidentosoleBroad striped anchovy</v>
      </c>
    </row>
    <row r="1553" spans="1:9" x14ac:dyDescent="0.35">
      <c r="A1553">
        <v>26</v>
      </c>
      <c r="B1553">
        <v>2018</v>
      </c>
      <c r="C1553">
        <v>1</v>
      </c>
      <c r="D1553" t="s">
        <v>175</v>
      </c>
      <c r="E1553" t="s">
        <v>349</v>
      </c>
      <c r="F1553" t="s">
        <v>280</v>
      </c>
      <c r="G1553" t="s">
        <v>301</v>
      </c>
      <c r="H1553" s="4">
        <v>6</v>
      </c>
      <c r="I1553" t="str">
        <f t="shared" si="24"/>
        <v>Anchoviella lepidentosoleBroad striped anchovy</v>
      </c>
    </row>
    <row r="1554" spans="1:9" x14ac:dyDescent="0.35">
      <c r="A1554">
        <v>26</v>
      </c>
      <c r="B1554">
        <v>2018</v>
      </c>
      <c r="C1554">
        <v>1</v>
      </c>
      <c r="D1554" t="s">
        <v>175</v>
      </c>
      <c r="E1554" t="s">
        <v>349</v>
      </c>
      <c r="F1554" t="s">
        <v>280</v>
      </c>
      <c r="G1554" t="s">
        <v>301</v>
      </c>
      <c r="H1554" s="4">
        <v>6</v>
      </c>
      <c r="I1554" t="str">
        <f t="shared" si="24"/>
        <v>Anchoviella lepidentosoleBroad striped anchovy</v>
      </c>
    </row>
    <row r="1555" spans="1:9" x14ac:dyDescent="0.35">
      <c r="A1555">
        <v>26</v>
      </c>
      <c r="B1555">
        <v>2018</v>
      </c>
      <c r="C1555">
        <v>1</v>
      </c>
      <c r="D1555" t="s">
        <v>175</v>
      </c>
      <c r="E1555" t="s">
        <v>349</v>
      </c>
      <c r="F1555" t="s">
        <v>280</v>
      </c>
      <c r="G1555" t="s">
        <v>301</v>
      </c>
      <c r="H1555" s="4">
        <v>6</v>
      </c>
      <c r="I1555" t="str">
        <f t="shared" si="24"/>
        <v>Anchoviella lepidentosoleBroad striped anchovy</v>
      </c>
    </row>
    <row r="1556" spans="1:9" x14ac:dyDescent="0.35">
      <c r="A1556">
        <v>26</v>
      </c>
      <c r="B1556">
        <v>2018</v>
      </c>
      <c r="C1556">
        <v>1</v>
      </c>
      <c r="D1556" t="s">
        <v>175</v>
      </c>
      <c r="E1556" t="s">
        <v>349</v>
      </c>
      <c r="F1556" t="s">
        <v>280</v>
      </c>
      <c r="G1556" t="s">
        <v>301</v>
      </c>
      <c r="H1556" s="4">
        <v>6</v>
      </c>
      <c r="I1556" t="str">
        <f t="shared" si="24"/>
        <v>Anchoviella lepidentosoleBroad striped anchovy</v>
      </c>
    </row>
    <row r="1557" spans="1:9" x14ac:dyDescent="0.35">
      <c r="A1557">
        <v>26</v>
      </c>
      <c r="B1557">
        <v>2018</v>
      </c>
      <c r="C1557">
        <v>1</v>
      </c>
      <c r="D1557" t="s">
        <v>175</v>
      </c>
      <c r="E1557" t="s">
        <v>349</v>
      </c>
      <c r="F1557" t="s">
        <v>280</v>
      </c>
      <c r="G1557" t="s">
        <v>301</v>
      </c>
      <c r="H1557" s="4">
        <v>6</v>
      </c>
      <c r="I1557" t="str">
        <f t="shared" si="24"/>
        <v>Anchoviella lepidentosoleBroad striped anchovy</v>
      </c>
    </row>
    <row r="1558" spans="1:9" x14ac:dyDescent="0.35">
      <c r="A1558">
        <v>26</v>
      </c>
      <c r="B1558">
        <v>2018</v>
      </c>
      <c r="C1558">
        <v>1</v>
      </c>
      <c r="D1558" t="s">
        <v>175</v>
      </c>
      <c r="E1558" t="s">
        <v>349</v>
      </c>
      <c r="F1558" t="s">
        <v>280</v>
      </c>
      <c r="G1558" t="s">
        <v>301</v>
      </c>
      <c r="H1558" s="4">
        <v>6</v>
      </c>
      <c r="I1558" t="str">
        <f t="shared" si="24"/>
        <v>Anchoviella lepidentosoleBroad striped anchovy</v>
      </c>
    </row>
    <row r="1559" spans="1:9" x14ac:dyDescent="0.35">
      <c r="A1559">
        <v>26</v>
      </c>
      <c r="B1559">
        <v>2018</v>
      </c>
      <c r="C1559">
        <v>1</v>
      </c>
      <c r="D1559" t="s">
        <v>175</v>
      </c>
      <c r="E1559" t="s">
        <v>349</v>
      </c>
      <c r="F1559" t="s">
        <v>280</v>
      </c>
      <c r="G1559" t="s">
        <v>301</v>
      </c>
      <c r="H1559" s="4">
        <v>6</v>
      </c>
      <c r="I1559" t="str">
        <f t="shared" si="24"/>
        <v>Anchoviella lepidentosoleBroad striped anchovy</v>
      </c>
    </row>
    <row r="1560" spans="1:9" x14ac:dyDescent="0.35">
      <c r="A1560">
        <v>26</v>
      </c>
      <c r="B1560">
        <v>2018</v>
      </c>
      <c r="C1560">
        <v>1</v>
      </c>
      <c r="D1560" t="s">
        <v>175</v>
      </c>
      <c r="E1560" t="s">
        <v>349</v>
      </c>
      <c r="F1560" t="s">
        <v>280</v>
      </c>
      <c r="G1560" t="s">
        <v>301</v>
      </c>
      <c r="H1560" s="4">
        <v>6</v>
      </c>
      <c r="I1560" t="str">
        <f t="shared" si="24"/>
        <v>Anchoviella lepidentosoleBroad striped anchovy</v>
      </c>
    </row>
    <row r="1561" spans="1:9" x14ac:dyDescent="0.35">
      <c r="A1561">
        <v>26</v>
      </c>
      <c r="B1561">
        <v>2018</v>
      </c>
      <c r="C1561">
        <v>1</v>
      </c>
      <c r="D1561" t="s">
        <v>175</v>
      </c>
      <c r="E1561" t="s">
        <v>349</v>
      </c>
      <c r="F1561" t="s">
        <v>280</v>
      </c>
      <c r="G1561" t="s">
        <v>301</v>
      </c>
      <c r="H1561" s="4">
        <v>6</v>
      </c>
      <c r="I1561" t="str">
        <f t="shared" si="24"/>
        <v>Anchoviella lepidentosoleBroad striped anchovy</v>
      </c>
    </row>
    <row r="1562" spans="1:9" x14ac:dyDescent="0.35">
      <c r="A1562">
        <v>26</v>
      </c>
      <c r="B1562">
        <v>2018</v>
      </c>
      <c r="C1562">
        <v>1</v>
      </c>
      <c r="D1562" t="s">
        <v>175</v>
      </c>
      <c r="E1562" t="s">
        <v>349</v>
      </c>
      <c r="F1562" t="s">
        <v>280</v>
      </c>
      <c r="G1562" t="s">
        <v>301</v>
      </c>
      <c r="H1562" s="4">
        <v>7</v>
      </c>
      <c r="I1562" t="str">
        <f t="shared" si="24"/>
        <v>Anchoviella lepidentosoleBroad striped anchovy</v>
      </c>
    </row>
    <row r="1563" spans="1:9" x14ac:dyDescent="0.35">
      <c r="A1563">
        <v>26</v>
      </c>
      <c r="B1563">
        <v>2018</v>
      </c>
      <c r="C1563">
        <v>1</v>
      </c>
      <c r="D1563" t="s">
        <v>175</v>
      </c>
      <c r="E1563" t="s">
        <v>349</v>
      </c>
      <c r="F1563" t="s">
        <v>280</v>
      </c>
      <c r="G1563" t="s">
        <v>301</v>
      </c>
      <c r="H1563" s="4">
        <v>7</v>
      </c>
      <c r="I1563" t="str">
        <f t="shared" si="24"/>
        <v>Anchoviella lepidentosoleBroad striped anchovy</v>
      </c>
    </row>
    <row r="1564" spans="1:9" x14ac:dyDescent="0.35">
      <c r="A1564">
        <v>26</v>
      </c>
      <c r="B1564">
        <v>2018</v>
      </c>
      <c r="C1564">
        <v>1</v>
      </c>
      <c r="D1564" t="s">
        <v>175</v>
      </c>
      <c r="E1564" t="s">
        <v>349</v>
      </c>
      <c r="F1564" t="s">
        <v>280</v>
      </c>
      <c r="G1564" t="s">
        <v>301</v>
      </c>
      <c r="H1564" s="4">
        <v>8</v>
      </c>
      <c r="I1564" t="str">
        <f t="shared" si="24"/>
        <v>Anchoviella lepidentosoleBroad striped anchovy</v>
      </c>
    </row>
    <row r="1565" spans="1:9" x14ac:dyDescent="0.35">
      <c r="A1565">
        <v>26</v>
      </c>
      <c r="B1565">
        <v>2018</v>
      </c>
      <c r="C1565">
        <v>1</v>
      </c>
      <c r="D1565" t="s">
        <v>175</v>
      </c>
      <c r="E1565" t="s">
        <v>349</v>
      </c>
      <c r="F1565" t="s">
        <v>43</v>
      </c>
      <c r="G1565" t="s">
        <v>57</v>
      </c>
      <c r="H1565" s="4">
        <v>10</v>
      </c>
      <c r="I1565" t="str">
        <f t="shared" si="24"/>
        <v>Cynoscion virescensSeatrout</v>
      </c>
    </row>
    <row r="1566" spans="1:9" x14ac:dyDescent="0.35">
      <c r="A1566">
        <v>26</v>
      </c>
      <c r="B1566">
        <v>2018</v>
      </c>
      <c r="C1566">
        <v>1</v>
      </c>
      <c r="D1566" t="s">
        <v>175</v>
      </c>
      <c r="E1566" t="s">
        <v>349</v>
      </c>
      <c r="F1566" t="s">
        <v>43</v>
      </c>
      <c r="G1566" t="s">
        <v>57</v>
      </c>
      <c r="H1566" s="4">
        <v>10</v>
      </c>
      <c r="I1566" t="str">
        <f t="shared" si="24"/>
        <v>Cynoscion virescensSeatrout</v>
      </c>
    </row>
    <row r="1567" spans="1:9" x14ac:dyDescent="0.35">
      <c r="A1567">
        <v>26</v>
      </c>
      <c r="B1567">
        <v>2018</v>
      </c>
      <c r="C1567">
        <v>1</v>
      </c>
      <c r="D1567" t="s">
        <v>175</v>
      </c>
      <c r="E1567" t="s">
        <v>349</v>
      </c>
      <c r="F1567" t="s">
        <v>43</v>
      </c>
      <c r="G1567" t="s">
        <v>57</v>
      </c>
      <c r="H1567" s="4">
        <v>11</v>
      </c>
      <c r="I1567" t="str">
        <f t="shared" si="24"/>
        <v>Cynoscion virescensSeatrout</v>
      </c>
    </row>
    <row r="1568" spans="1:9" x14ac:dyDescent="0.35">
      <c r="A1568">
        <v>26</v>
      </c>
      <c r="B1568">
        <v>2018</v>
      </c>
      <c r="C1568">
        <v>1</v>
      </c>
      <c r="D1568" t="s">
        <v>175</v>
      </c>
      <c r="E1568" t="s">
        <v>349</v>
      </c>
      <c r="F1568" t="s">
        <v>43</v>
      </c>
      <c r="G1568" t="s">
        <v>57</v>
      </c>
      <c r="H1568" s="4">
        <v>13</v>
      </c>
      <c r="I1568" t="str">
        <f t="shared" si="24"/>
        <v>Cynoscion virescensSeatrout</v>
      </c>
    </row>
    <row r="1569" spans="1:9" x14ac:dyDescent="0.35">
      <c r="A1569">
        <v>26</v>
      </c>
      <c r="B1569">
        <v>2018</v>
      </c>
      <c r="C1569">
        <v>1</v>
      </c>
      <c r="D1569" t="s">
        <v>175</v>
      </c>
      <c r="E1569" t="s">
        <v>349</v>
      </c>
      <c r="F1569" t="s">
        <v>43</v>
      </c>
      <c r="G1569" t="s">
        <v>57</v>
      </c>
      <c r="H1569" s="4">
        <v>13</v>
      </c>
      <c r="I1569" t="str">
        <f t="shared" si="24"/>
        <v>Cynoscion virescensSeatrout</v>
      </c>
    </row>
    <row r="1570" spans="1:9" x14ac:dyDescent="0.35">
      <c r="A1570">
        <v>26</v>
      </c>
      <c r="B1570">
        <v>2018</v>
      </c>
      <c r="C1570">
        <v>1</v>
      </c>
      <c r="D1570" t="s">
        <v>175</v>
      </c>
      <c r="E1570" t="s">
        <v>349</v>
      </c>
      <c r="F1570" t="s">
        <v>43</v>
      </c>
      <c r="G1570" t="s">
        <v>57</v>
      </c>
      <c r="H1570" s="4">
        <v>13</v>
      </c>
      <c r="I1570" t="str">
        <f t="shared" si="24"/>
        <v>Cynoscion virescensSeatrout</v>
      </c>
    </row>
    <row r="1571" spans="1:9" x14ac:dyDescent="0.35">
      <c r="A1571">
        <v>26</v>
      </c>
      <c r="B1571">
        <v>2018</v>
      </c>
      <c r="C1571">
        <v>1</v>
      </c>
      <c r="D1571" t="s">
        <v>175</v>
      </c>
      <c r="E1571" t="s">
        <v>349</v>
      </c>
      <c r="F1571" t="s">
        <v>43</v>
      </c>
      <c r="G1571" t="s">
        <v>57</v>
      </c>
      <c r="H1571" s="4">
        <v>14</v>
      </c>
      <c r="I1571" t="str">
        <f t="shared" si="24"/>
        <v>Cynoscion virescensSeatrout</v>
      </c>
    </row>
    <row r="1572" spans="1:9" x14ac:dyDescent="0.35">
      <c r="A1572">
        <v>26</v>
      </c>
      <c r="B1572">
        <v>2018</v>
      </c>
      <c r="C1572">
        <v>1</v>
      </c>
      <c r="D1572" t="s">
        <v>175</v>
      </c>
      <c r="E1572" t="s">
        <v>349</v>
      </c>
      <c r="F1572" t="s">
        <v>43</v>
      </c>
      <c r="G1572" t="s">
        <v>57</v>
      </c>
      <c r="H1572" s="4">
        <v>14</v>
      </c>
      <c r="I1572" t="str">
        <f t="shared" si="24"/>
        <v>Cynoscion virescensSeatrout</v>
      </c>
    </row>
    <row r="1573" spans="1:9" x14ac:dyDescent="0.35">
      <c r="A1573">
        <v>26</v>
      </c>
      <c r="B1573">
        <v>2018</v>
      </c>
      <c r="C1573">
        <v>1</v>
      </c>
      <c r="D1573" t="s">
        <v>175</v>
      </c>
      <c r="E1573" t="s">
        <v>349</v>
      </c>
      <c r="F1573" t="s">
        <v>43</v>
      </c>
      <c r="G1573" t="s">
        <v>57</v>
      </c>
      <c r="H1573" s="4">
        <v>14</v>
      </c>
      <c r="I1573" t="str">
        <f t="shared" si="24"/>
        <v>Cynoscion virescensSeatrout</v>
      </c>
    </row>
    <row r="1574" spans="1:9" x14ac:dyDescent="0.35">
      <c r="A1574">
        <v>26</v>
      </c>
      <c r="B1574">
        <v>2018</v>
      </c>
      <c r="C1574">
        <v>1</v>
      </c>
      <c r="D1574" t="s">
        <v>175</v>
      </c>
      <c r="E1574" t="s">
        <v>349</v>
      </c>
      <c r="F1574" t="s">
        <v>43</v>
      </c>
      <c r="G1574" t="s">
        <v>57</v>
      </c>
      <c r="H1574" s="4">
        <v>14</v>
      </c>
      <c r="I1574" t="str">
        <f t="shared" si="24"/>
        <v>Cynoscion virescensSeatrout</v>
      </c>
    </row>
    <row r="1575" spans="1:9" x14ac:dyDescent="0.35">
      <c r="A1575">
        <v>26</v>
      </c>
      <c r="B1575">
        <v>2018</v>
      </c>
      <c r="C1575">
        <v>1</v>
      </c>
      <c r="D1575" t="s">
        <v>175</v>
      </c>
      <c r="E1575" t="s">
        <v>349</v>
      </c>
      <c r="F1575" t="s">
        <v>43</v>
      </c>
      <c r="G1575" t="s">
        <v>57</v>
      </c>
      <c r="H1575" s="4">
        <v>15</v>
      </c>
      <c r="I1575" t="str">
        <f t="shared" si="24"/>
        <v>Cynoscion virescensSeatrout</v>
      </c>
    </row>
    <row r="1576" spans="1:9" x14ac:dyDescent="0.35">
      <c r="A1576">
        <v>26</v>
      </c>
      <c r="B1576">
        <v>2018</v>
      </c>
      <c r="C1576">
        <v>1</v>
      </c>
      <c r="D1576" t="s">
        <v>175</v>
      </c>
      <c r="E1576" t="s">
        <v>349</v>
      </c>
      <c r="F1576" t="s">
        <v>43</v>
      </c>
      <c r="G1576" t="s">
        <v>57</v>
      </c>
      <c r="H1576" s="4">
        <v>15</v>
      </c>
      <c r="I1576" t="str">
        <f t="shared" si="24"/>
        <v>Cynoscion virescensSeatrout</v>
      </c>
    </row>
    <row r="1577" spans="1:9" x14ac:dyDescent="0.35">
      <c r="A1577">
        <v>26</v>
      </c>
      <c r="B1577">
        <v>2018</v>
      </c>
      <c r="C1577">
        <v>1</v>
      </c>
      <c r="D1577" t="s">
        <v>175</v>
      </c>
      <c r="E1577" t="s">
        <v>349</v>
      </c>
      <c r="F1577" t="s">
        <v>43</v>
      </c>
      <c r="G1577" t="s">
        <v>57</v>
      </c>
      <c r="H1577" s="4">
        <v>16</v>
      </c>
      <c r="I1577" t="str">
        <f t="shared" si="24"/>
        <v>Cynoscion virescensSeatrout</v>
      </c>
    </row>
    <row r="1578" spans="1:9" x14ac:dyDescent="0.35">
      <c r="A1578">
        <v>26</v>
      </c>
      <c r="B1578">
        <v>2018</v>
      </c>
      <c r="C1578">
        <v>1</v>
      </c>
      <c r="D1578" t="s">
        <v>175</v>
      </c>
      <c r="E1578" t="s">
        <v>349</v>
      </c>
      <c r="F1578" t="s">
        <v>43</v>
      </c>
      <c r="G1578" t="s">
        <v>57</v>
      </c>
      <c r="H1578" s="4">
        <v>16</v>
      </c>
      <c r="I1578" t="str">
        <f t="shared" si="24"/>
        <v>Cynoscion virescensSeatrout</v>
      </c>
    </row>
    <row r="1579" spans="1:9" x14ac:dyDescent="0.35">
      <c r="A1579">
        <v>26</v>
      </c>
      <c r="B1579">
        <v>2018</v>
      </c>
      <c r="C1579">
        <v>1</v>
      </c>
      <c r="D1579" t="s">
        <v>175</v>
      </c>
      <c r="E1579" t="s">
        <v>349</v>
      </c>
      <c r="F1579" t="s">
        <v>43</v>
      </c>
      <c r="G1579" t="s">
        <v>57</v>
      </c>
      <c r="H1579" s="4">
        <v>17</v>
      </c>
      <c r="I1579" t="str">
        <f t="shared" si="24"/>
        <v>Cynoscion virescensSeatrout</v>
      </c>
    </row>
    <row r="1580" spans="1:9" x14ac:dyDescent="0.35">
      <c r="A1580">
        <v>26</v>
      </c>
      <c r="B1580">
        <v>2018</v>
      </c>
      <c r="C1580">
        <v>1</v>
      </c>
      <c r="D1580" t="s">
        <v>175</v>
      </c>
      <c r="E1580" t="s">
        <v>349</v>
      </c>
      <c r="F1580" t="s">
        <v>43</v>
      </c>
      <c r="G1580" t="s">
        <v>57</v>
      </c>
      <c r="H1580" s="4">
        <v>17</v>
      </c>
      <c r="I1580" t="str">
        <f t="shared" si="24"/>
        <v>Cynoscion virescensSeatrout</v>
      </c>
    </row>
    <row r="1581" spans="1:9" x14ac:dyDescent="0.35">
      <c r="A1581">
        <v>26</v>
      </c>
      <c r="B1581">
        <v>2018</v>
      </c>
      <c r="C1581">
        <v>1</v>
      </c>
      <c r="D1581" t="s">
        <v>175</v>
      </c>
      <c r="E1581" t="s">
        <v>349</v>
      </c>
      <c r="F1581" t="s">
        <v>43</v>
      </c>
      <c r="G1581" t="s">
        <v>57</v>
      </c>
      <c r="H1581" s="4">
        <v>17</v>
      </c>
      <c r="I1581" t="str">
        <f t="shared" si="24"/>
        <v>Cynoscion virescensSeatrout</v>
      </c>
    </row>
    <row r="1582" spans="1:9" x14ac:dyDescent="0.35">
      <c r="A1582">
        <v>26</v>
      </c>
      <c r="B1582">
        <v>2018</v>
      </c>
      <c r="C1582">
        <v>1</v>
      </c>
      <c r="D1582" t="s">
        <v>175</v>
      </c>
      <c r="E1582" t="s">
        <v>349</v>
      </c>
      <c r="F1582" t="s">
        <v>43</v>
      </c>
      <c r="G1582" t="s">
        <v>57</v>
      </c>
      <c r="H1582" s="4">
        <v>18</v>
      </c>
      <c r="I1582" t="str">
        <f t="shared" si="24"/>
        <v>Cynoscion virescensSeatrout</v>
      </c>
    </row>
    <row r="1583" spans="1:9" x14ac:dyDescent="0.35">
      <c r="A1583">
        <v>26</v>
      </c>
      <c r="B1583">
        <v>2018</v>
      </c>
      <c r="C1583">
        <v>1</v>
      </c>
      <c r="D1583" t="s">
        <v>175</v>
      </c>
      <c r="E1583" t="s">
        <v>349</v>
      </c>
      <c r="F1583" t="s">
        <v>43</v>
      </c>
      <c r="G1583" t="s">
        <v>57</v>
      </c>
      <c r="H1583" s="4">
        <v>18</v>
      </c>
      <c r="I1583" t="str">
        <f t="shared" si="24"/>
        <v>Cynoscion virescensSeatrout</v>
      </c>
    </row>
    <row r="1584" spans="1:9" x14ac:dyDescent="0.35">
      <c r="A1584">
        <v>26</v>
      </c>
      <c r="B1584">
        <v>2018</v>
      </c>
      <c r="C1584">
        <v>1</v>
      </c>
      <c r="D1584" t="s">
        <v>175</v>
      </c>
      <c r="E1584" t="s">
        <v>349</v>
      </c>
      <c r="F1584" t="s">
        <v>43</v>
      </c>
      <c r="G1584" t="s">
        <v>57</v>
      </c>
      <c r="H1584" s="4">
        <v>19</v>
      </c>
      <c r="I1584" t="str">
        <f t="shared" si="24"/>
        <v>Cynoscion virescensSeatrout</v>
      </c>
    </row>
    <row r="1585" spans="1:9" x14ac:dyDescent="0.35">
      <c r="A1585">
        <v>26</v>
      </c>
      <c r="B1585">
        <v>2018</v>
      </c>
      <c r="C1585">
        <v>1</v>
      </c>
      <c r="D1585" t="s">
        <v>175</v>
      </c>
      <c r="E1585" t="s">
        <v>349</v>
      </c>
      <c r="F1585" t="s">
        <v>43</v>
      </c>
      <c r="G1585" t="s">
        <v>57</v>
      </c>
      <c r="H1585" s="4">
        <v>19</v>
      </c>
      <c r="I1585" t="str">
        <f t="shared" si="24"/>
        <v>Cynoscion virescensSeatrout</v>
      </c>
    </row>
    <row r="1586" spans="1:9" x14ac:dyDescent="0.35">
      <c r="A1586">
        <v>26</v>
      </c>
      <c r="B1586">
        <v>2018</v>
      </c>
      <c r="C1586">
        <v>1</v>
      </c>
      <c r="D1586" t="s">
        <v>175</v>
      </c>
      <c r="E1586" t="s">
        <v>349</v>
      </c>
      <c r="F1586" t="s">
        <v>43</v>
      </c>
      <c r="G1586" t="s">
        <v>57</v>
      </c>
      <c r="H1586" s="4">
        <v>20</v>
      </c>
      <c r="I1586" t="str">
        <f t="shared" si="24"/>
        <v>Cynoscion virescensSeatrout</v>
      </c>
    </row>
    <row r="1587" spans="1:9" x14ac:dyDescent="0.35">
      <c r="A1587">
        <v>26</v>
      </c>
      <c r="B1587">
        <v>2018</v>
      </c>
      <c r="C1587">
        <v>1</v>
      </c>
      <c r="D1587" t="s">
        <v>175</v>
      </c>
      <c r="E1587" t="s">
        <v>349</v>
      </c>
      <c r="F1587" t="s">
        <v>43</v>
      </c>
      <c r="G1587" t="s">
        <v>57</v>
      </c>
      <c r="H1587" s="4">
        <v>20</v>
      </c>
      <c r="I1587" t="str">
        <f t="shared" si="24"/>
        <v>Cynoscion virescensSeatrout</v>
      </c>
    </row>
    <row r="1588" spans="1:9" x14ac:dyDescent="0.35">
      <c r="A1588">
        <v>26</v>
      </c>
      <c r="B1588">
        <v>2018</v>
      </c>
      <c r="C1588">
        <v>1</v>
      </c>
      <c r="D1588" t="s">
        <v>175</v>
      </c>
      <c r="E1588" t="s">
        <v>349</v>
      </c>
      <c r="F1588" t="s">
        <v>43</v>
      </c>
      <c r="G1588" t="s">
        <v>57</v>
      </c>
      <c r="H1588" s="4">
        <v>20</v>
      </c>
      <c r="I1588" t="str">
        <f t="shared" si="24"/>
        <v>Cynoscion virescensSeatrout</v>
      </c>
    </row>
    <row r="1589" spans="1:9" x14ac:dyDescent="0.35">
      <c r="A1589">
        <v>26</v>
      </c>
      <c r="B1589">
        <v>2018</v>
      </c>
      <c r="C1589">
        <v>1</v>
      </c>
      <c r="D1589" t="s">
        <v>175</v>
      </c>
      <c r="E1589" t="s">
        <v>349</v>
      </c>
      <c r="F1589" t="s">
        <v>43</v>
      </c>
      <c r="G1589" t="s">
        <v>57</v>
      </c>
      <c r="H1589" s="4">
        <v>21</v>
      </c>
      <c r="I1589" t="str">
        <f t="shared" si="24"/>
        <v>Cynoscion virescensSeatrout</v>
      </c>
    </row>
    <row r="1590" spans="1:9" x14ac:dyDescent="0.35">
      <c r="A1590">
        <v>26</v>
      </c>
      <c r="B1590">
        <v>2018</v>
      </c>
      <c r="C1590">
        <v>1</v>
      </c>
      <c r="D1590" t="s">
        <v>175</v>
      </c>
      <c r="E1590" t="s">
        <v>349</v>
      </c>
      <c r="F1590" t="s">
        <v>43</v>
      </c>
      <c r="G1590" t="s">
        <v>57</v>
      </c>
      <c r="H1590" s="4">
        <v>22</v>
      </c>
      <c r="I1590" t="str">
        <f t="shared" si="24"/>
        <v>Cynoscion virescensSeatrout</v>
      </c>
    </row>
    <row r="1591" spans="1:9" x14ac:dyDescent="0.35">
      <c r="A1591">
        <v>26</v>
      </c>
      <c r="B1591">
        <v>2018</v>
      </c>
      <c r="C1591">
        <v>1</v>
      </c>
      <c r="D1591" t="s">
        <v>175</v>
      </c>
      <c r="E1591" t="s">
        <v>349</v>
      </c>
      <c r="F1591" t="s">
        <v>43</v>
      </c>
      <c r="G1591" t="s">
        <v>57</v>
      </c>
      <c r="H1591" s="4">
        <v>23</v>
      </c>
      <c r="I1591" t="str">
        <f t="shared" si="24"/>
        <v>Cynoscion virescensSeatrout</v>
      </c>
    </row>
    <row r="1592" spans="1:9" x14ac:dyDescent="0.35">
      <c r="A1592">
        <v>26</v>
      </c>
      <c r="B1592">
        <v>2018</v>
      </c>
      <c r="C1592">
        <v>1</v>
      </c>
      <c r="D1592" t="s">
        <v>175</v>
      </c>
      <c r="E1592" t="s">
        <v>349</v>
      </c>
      <c r="F1592" t="s">
        <v>43</v>
      </c>
      <c r="G1592" t="s">
        <v>57</v>
      </c>
      <c r="H1592" s="4">
        <v>24</v>
      </c>
      <c r="I1592" t="str">
        <f t="shared" si="24"/>
        <v>Cynoscion virescensSeatrout</v>
      </c>
    </row>
    <row r="1593" spans="1:9" x14ac:dyDescent="0.35">
      <c r="A1593">
        <v>26</v>
      </c>
      <c r="B1593">
        <v>2018</v>
      </c>
      <c r="C1593">
        <v>1</v>
      </c>
      <c r="D1593" t="s">
        <v>175</v>
      </c>
      <c r="E1593" t="s">
        <v>349</v>
      </c>
      <c r="F1593" t="s">
        <v>43</v>
      </c>
      <c r="G1593" t="s">
        <v>57</v>
      </c>
      <c r="H1593" s="4">
        <v>25</v>
      </c>
      <c r="I1593" t="str">
        <f t="shared" si="24"/>
        <v>Cynoscion virescensSeatrout</v>
      </c>
    </row>
    <row r="1594" spans="1:9" x14ac:dyDescent="0.35">
      <c r="A1594">
        <v>26</v>
      </c>
      <c r="B1594">
        <v>2018</v>
      </c>
      <c r="C1594">
        <v>1</v>
      </c>
      <c r="D1594" t="s">
        <v>175</v>
      </c>
      <c r="E1594" t="s">
        <v>349</v>
      </c>
      <c r="F1594" t="s">
        <v>43</v>
      </c>
      <c r="G1594" t="s">
        <v>57</v>
      </c>
      <c r="H1594" s="4">
        <v>28</v>
      </c>
      <c r="I1594" t="str">
        <f t="shared" si="24"/>
        <v>Cynoscion virescensSeatrout</v>
      </c>
    </row>
    <row r="1595" spans="1:9" x14ac:dyDescent="0.35">
      <c r="A1595">
        <v>26</v>
      </c>
      <c r="B1595">
        <v>2018</v>
      </c>
      <c r="C1595">
        <v>1</v>
      </c>
      <c r="D1595" t="s">
        <v>175</v>
      </c>
      <c r="E1595" t="s">
        <v>349</v>
      </c>
      <c r="F1595" t="s">
        <v>40</v>
      </c>
      <c r="G1595" t="s">
        <v>35</v>
      </c>
      <c r="H1595" s="4">
        <v>9</v>
      </c>
      <c r="I1595" t="str">
        <f t="shared" si="24"/>
        <v>Macrodon ancylodonBangamary</v>
      </c>
    </row>
    <row r="1596" spans="1:9" x14ac:dyDescent="0.35">
      <c r="A1596">
        <v>26</v>
      </c>
      <c r="B1596">
        <v>2018</v>
      </c>
      <c r="C1596">
        <v>1</v>
      </c>
      <c r="D1596" t="s">
        <v>175</v>
      </c>
      <c r="E1596" t="s">
        <v>349</v>
      </c>
      <c r="F1596" t="s">
        <v>40</v>
      </c>
      <c r="G1596" t="s">
        <v>35</v>
      </c>
      <c r="H1596" s="4">
        <v>10</v>
      </c>
      <c r="I1596" t="str">
        <f t="shared" si="24"/>
        <v>Macrodon ancylodonBangamary</v>
      </c>
    </row>
    <row r="1597" spans="1:9" x14ac:dyDescent="0.35">
      <c r="A1597">
        <v>26</v>
      </c>
      <c r="B1597">
        <v>2018</v>
      </c>
      <c r="C1597">
        <v>1</v>
      </c>
      <c r="D1597" t="s">
        <v>175</v>
      </c>
      <c r="E1597" t="s">
        <v>349</v>
      </c>
      <c r="F1597" t="s">
        <v>40</v>
      </c>
      <c r="G1597" t="s">
        <v>35</v>
      </c>
      <c r="H1597" s="4">
        <v>10</v>
      </c>
      <c r="I1597" t="str">
        <f t="shared" si="24"/>
        <v>Macrodon ancylodonBangamary</v>
      </c>
    </row>
    <row r="1598" spans="1:9" x14ac:dyDescent="0.35">
      <c r="A1598">
        <v>26</v>
      </c>
      <c r="B1598">
        <v>2018</v>
      </c>
      <c r="C1598">
        <v>1</v>
      </c>
      <c r="D1598" t="s">
        <v>175</v>
      </c>
      <c r="E1598" t="s">
        <v>349</v>
      </c>
      <c r="F1598" t="s">
        <v>40</v>
      </c>
      <c r="G1598" t="s">
        <v>35</v>
      </c>
      <c r="H1598" s="4">
        <v>11</v>
      </c>
      <c r="I1598" t="str">
        <f t="shared" si="24"/>
        <v>Macrodon ancylodonBangamary</v>
      </c>
    </row>
    <row r="1599" spans="1:9" x14ac:dyDescent="0.35">
      <c r="A1599">
        <v>26</v>
      </c>
      <c r="B1599">
        <v>2018</v>
      </c>
      <c r="C1599">
        <v>1</v>
      </c>
      <c r="D1599" t="s">
        <v>175</v>
      </c>
      <c r="E1599" t="s">
        <v>349</v>
      </c>
      <c r="F1599" t="s">
        <v>40</v>
      </c>
      <c r="G1599" t="s">
        <v>35</v>
      </c>
      <c r="H1599" s="4">
        <v>11</v>
      </c>
      <c r="I1599" t="str">
        <f t="shared" si="24"/>
        <v>Macrodon ancylodonBangamary</v>
      </c>
    </row>
    <row r="1600" spans="1:9" x14ac:dyDescent="0.35">
      <c r="A1600">
        <v>26</v>
      </c>
      <c r="B1600">
        <v>2018</v>
      </c>
      <c r="C1600">
        <v>1</v>
      </c>
      <c r="D1600" t="s">
        <v>175</v>
      </c>
      <c r="E1600" t="s">
        <v>349</v>
      </c>
      <c r="F1600" t="s">
        <v>40</v>
      </c>
      <c r="G1600" t="s">
        <v>35</v>
      </c>
      <c r="H1600" s="4">
        <v>11</v>
      </c>
      <c r="I1600" t="str">
        <f t="shared" si="24"/>
        <v>Macrodon ancylodonBangamary</v>
      </c>
    </row>
    <row r="1601" spans="1:9" x14ac:dyDescent="0.35">
      <c r="A1601">
        <v>26</v>
      </c>
      <c r="B1601">
        <v>2018</v>
      </c>
      <c r="C1601">
        <v>1</v>
      </c>
      <c r="D1601" t="s">
        <v>175</v>
      </c>
      <c r="E1601" t="s">
        <v>349</v>
      </c>
      <c r="F1601" t="s">
        <v>40</v>
      </c>
      <c r="G1601" t="s">
        <v>35</v>
      </c>
      <c r="H1601" s="4">
        <v>11</v>
      </c>
      <c r="I1601" t="str">
        <f t="shared" si="24"/>
        <v>Macrodon ancylodonBangamary</v>
      </c>
    </row>
    <row r="1602" spans="1:9" x14ac:dyDescent="0.35">
      <c r="A1602">
        <v>26</v>
      </c>
      <c r="B1602">
        <v>2018</v>
      </c>
      <c r="C1602">
        <v>1</v>
      </c>
      <c r="D1602" t="s">
        <v>175</v>
      </c>
      <c r="E1602" t="s">
        <v>349</v>
      </c>
      <c r="F1602" t="s">
        <v>40</v>
      </c>
      <c r="G1602" t="s">
        <v>35</v>
      </c>
      <c r="H1602" s="4">
        <v>11</v>
      </c>
      <c r="I1602" t="str">
        <f t="shared" ref="I1602:I1665" si="25">CONCATENATE(F1602,G1602)</f>
        <v>Macrodon ancylodonBangamary</v>
      </c>
    </row>
    <row r="1603" spans="1:9" x14ac:dyDescent="0.35">
      <c r="A1603">
        <v>26</v>
      </c>
      <c r="B1603">
        <v>2018</v>
      </c>
      <c r="C1603">
        <v>1</v>
      </c>
      <c r="D1603" t="s">
        <v>175</v>
      </c>
      <c r="E1603" t="s">
        <v>349</v>
      </c>
      <c r="F1603" t="s">
        <v>40</v>
      </c>
      <c r="G1603" t="s">
        <v>35</v>
      </c>
      <c r="H1603" s="4">
        <v>11</v>
      </c>
      <c r="I1603" t="str">
        <f t="shared" si="25"/>
        <v>Macrodon ancylodonBangamary</v>
      </c>
    </row>
    <row r="1604" spans="1:9" x14ac:dyDescent="0.35">
      <c r="A1604">
        <v>26</v>
      </c>
      <c r="B1604">
        <v>2018</v>
      </c>
      <c r="C1604">
        <v>1</v>
      </c>
      <c r="D1604" t="s">
        <v>175</v>
      </c>
      <c r="E1604" t="s">
        <v>349</v>
      </c>
      <c r="F1604" t="s">
        <v>40</v>
      </c>
      <c r="G1604" t="s">
        <v>35</v>
      </c>
      <c r="H1604" s="4">
        <v>12</v>
      </c>
      <c r="I1604" t="str">
        <f t="shared" si="25"/>
        <v>Macrodon ancylodonBangamary</v>
      </c>
    </row>
    <row r="1605" spans="1:9" x14ac:dyDescent="0.35">
      <c r="A1605">
        <v>26</v>
      </c>
      <c r="B1605">
        <v>2018</v>
      </c>
      <c r="C1605">
        <v>1</v>
      </c>
      <c r="D1605" t="s">
        <v>175</v>
      </c>
      <c r="E1605" t="s">
        <v>349</v>
      </c>
      <c r="F1605" t="s">
        <v>40</v>
      </c>
      <c r="G1605" t="s">
        <v>35</v>
      </c>
      <c r="H1605" s="4">
        <v>12</v>
      </c>
      <c r="I1605" t="str">
        <f t="shared" si="25"/>
        <v>Macrodon ancylodonBangamary</v>
      </c>
    </row>
    <row r="1606" spans="1:9" x14ac:dyDescent="0.35">
      <c r="A1606">
        <v>26</v>
      </c>
      <c r="B1606">
        <v>2018</v>
      </c>
      <c r="C1606">
        <v>1</v>
      </c>
      <c r="D1606" t="s">
        <v>175</v>
      </c>
      <c r="E1606" t="s">
        <v>349</v>
      </c>
      <c r="F1606" t="s">
        <v>40</v>
      </c>
      <c r="G1606" t="s">
        <v>35</v>
      </c>
      <c r="H1606" s="4">
        <v>12</v>
      </c>
      <c r="I1606" t="str">
        <f t="shared" si="25"/>
        <v>Macrodon ancylodonBangamary</v>
      </c>
    </row>
    <row r="1607" spans="1:9" x14ac:dyDescent="0.35">
      <c r="A1607">
        <v>26</v>
      </c>
      <c r="B1607">
        <v>2018</v>
      </c>
      <c r="C1607">
        <v>1</v>
      </c>
      <c r="D1607" t="s">
        <v>175</v>
      </c>
      <c r="E1607" t="s">
        <v>349</v>
      </c>
      <c r="F1607" t="s">
        <v>40</v>
      </c>
      <c r="G1607" t="s">
        <v>35</v>
      </c>
      <c r="H1607" s="4">
        <v>13</v>
      </c>
      <c r="I1607" t="str">
        <f t="shared" si="25"/>
        <v>Macrodon ancylodonBangamary</v>
      </c>
    </row>
    <row r="1608" spans="1:9" x14ac:dyDescent="0.35">
      <c r="A1608">
        <v>26</v>
      </c>
      <c r="B1608">
        <v>2018</v>
      </c>
      <c r="C1608">
        <v>1</v>
      </c>
      <c r="D1608" t="s">
        <v>175</v>
      </c>
      <c r="E1608" t="s">
        <v>349</v>
      </c>
      <c r="F1608" t="s">
        <v>40</v>
      </c>
      <c r="G1608" t="s">
        <v>35</v>
      </c>
      <c r="H1608" s="4">
        <v>13</v>
      </c>
      <c r="I1608" t="str">
        <f t="shared" si="25"/>
        <v>Macrodon ancylodonBangamary</v>
      </c>
    </row>
    <row r="1609" spans="1:9" x14ac:dyDescent="0.35">
      <c r="A1609">
        <v>26</v>
      </c>
      <c r="B1609">
        <v>2018</v>
      </c>
      <c r="C1609">
        <v>1</v>
      </c>
      <c r="D1609" t="s">
        <v>175</v>
      </c>
      <c r="E1609" t="s">
        <v>349</v>
      </c>
      <c r="F1609" t="s">
        <v>40</v>
      </c>
      <c r="G1609" t="s">
        <v>35</v>
      </c>
      <c r="H1609" s="4">
        <v>13</v>
      </c>
      <c r="I1609" t="str">
        <f t="shared" si="25"/>
        <v>Macrodon ancylodonBangamary</v>
      </c>
    </row>
    <row r="1610" spans="1:9" x14ac:dyDescent="0.35">
      <c r="A1610">
        <v>26</v>
      </c>
      <c r="B1610">
        <v>2018</v>
      </c>
      <c r="C1610">
        <v>1</v>
      </c>
      <c r="D1610" t="s">
        <v>175</v>
      </c>
      <c r="E1610" t="s">
        <v>349</v>
      </c>
      <c r="F1610" t="s">
        <v>40</v>
      </c>
      <c r="G1610" t="s">
        <v>35</v>
      </c>
      <c r="H1610" s="4">
        <v>14</v>
      </c>
      <c r="I1610" t="str">
        <f t="shared" si="25"/>
        <v>Macrodon ancylodonBangamary</v>
      </c>
    </row>
    <row r="1611" spans="1:9" x14ac:dyDescent="0.35">
      <c r="A1611">
        <v>26</v>
      </c>
      <c r="B1611">
        <v>2018</v>
      </c>
      <c r="C1611">
        <v>1</v>
      </c>
      <c r="D1611" t="s">
        <v>175</v>
      </c>
      <c r="E1611" t="s">
        <v>349</v>
      </c>
      <c r="F1611" t="s">
        <v>40</v>
      </c>
      <c r="G1611" t="s">
        <v>35</v>
      </c>
      <c r="H1611" s="4">
        <v>15</v>
      </c>
      <c r="I1611" t="str">
        <f t="shared" si="25"/>
        <v>Macrodon ancylodonBangamary</v>
      </c>
    </row>
    <row r="1612" spans="1:9" x14ac:dyDescent="0.35">
      <c r="A1612">
        <v>26</v>
      </c>
      <c r="B1612">
        <v>2018</v>
      </c>
      <c r="C1612">
        <v>1</v>
      </c>
      <c r="D1612" t="s">
        <v>175</v>
      </c>
      <c r="E1612" t="s">
        <v>349</v>
      </c>
      <c r="F1612" t="s">
        <v>40</v>
      </c>
      <c r="G1612" t="s">
        <v>35</v>
      </c>
      <c r="H1612" s="4">
        <v>17</v>
      </c>
      <c r="I1612" t="str">
        <f t="shared" si="25"/>
        <v>Macrodon ancylodonBangamary</v>
      </c>
    </row>
    <row r="1613" spans="1:9" x14ac:dyDescent="0.35">
      <c r="A1613">
        <v>26</v>
      </c>
      <c r="B1613">
        <v>2018</v>
      </c>
      <c r="C1613">
        <v>1</v>
      </c>
      <c r="D1613" t="s">
        <v>175</v>
      </c>
      <c r="E1613" t="s">
        <v>349</v>
      </c>
      <c r="F1613" t="s">
        <v>40</v>
      </c>
      <c r="G1613" t="s">
        <v>35</v>
      </c>
      <c r="H1613" s="4">
        <v>17</v>
      </c>
      <c r="I1613" t="str">
        <f t="shared" si="25"/>
        <v>Macrodon ancylodonBangamary</v>
      </c>
    </row>
    <row r="1614" spans="1:9" x14ac:dyDescent="0.35">
      <c r="A1614">
        <v>26</v>
      </c>
      <c r="B1614">
        <v>2018</v>
      </c>
      <c r="C1614">
        <v>1</v>
      </c>
      <c r="D1614" t="s">
        <v>175</v>
      </c>
      <c r="E1614" t="s">
        <v>349</v>
      </c>
      <c r="F1614" t="s">
        <v>40</v>
      </c>
      <c r="G1614" t="s">
        <v>35</v>
      </c>
      <c r="H1614" s="4">
        <v>17</v>
      </c>
      <c r="I1614" t="str">
        <f t="shared" si="25"/>
        <v>Macrodon ancylodonBangamary</v>
      </c>
    </row>
    <row r="1615" spans="1:9" x14ac:dyDescent="0.35">
      <c r="A1615">
        <v>26</v>
      </c>
      <c r="B1615">
        <v>2018</v>
      </c>
      <c r="C1615">
        <v>1</v>
      </c>
      <c r="D1615" t="s">
        <v>175</v>
      </c>
      <c r="E1615" t="s">
        <v>349</v>
      </c>
      <c r="F1615" t="s">
        <v>40</v>
      </c>
      <c r="G1615" t="s">
        <v>35</v>
      </c>
      <c r="H1615" s="4">
        <v>17</v>
      </c>
      <c r="I1615" t="str">
        <f t="shared" si="25"/>
        <v>Macrodon ancylodonBangamary</v>
      </c>
    </row>
    <row r="1616" spans="1:9" x14ac:dyDescent="0.35">
      <c r="A1616">
        <v>26</v>
      </c>
      <c r="B1616">
        <v>2018</v>
      </c>
      <c r="C1616">
        <v>1</v>
      </c>
      <c r="D1616" t="s">
        <v>175</v>
      </c>
      <c r="E1616" t="s">
        <v>349</v>
      </c>
      <c r="F1616" t="s">
        <v>40</v>
      </c>
      <c r="G1616" t="s">
        <v>35</v>
      </c>
      <c r="H1616" s="4">
        <v>18</v>
      </c>
      <c r="I1616" t="str">
        <f t="shared" si="25"/>
        <v>Macrodon ancylodonBangamary</v>
      </c>
    </row>
    <row r="1617" spans="1:9" x14ac:dyDescent="0.35">
      <c r="A1617">
        <v>26</v>
      </c>
      <c r="B1617">
        <v>2018</v>
      </c>
      <c r="C1617">
        <v>1</v>
      </c>
      <c r="D1617" t="s">
        <v>175</v>
      </c>
      <c r="E1617" t="s">
        <v>349</v>
      </c>
      <c r="F1617" t="s">
        <v>40</v>
      </c>
      <c r="G1617" t="s">
        <v>35</v>
      </c>
      <c r="H1617" s="4">
        <v>18</v>
      </c>
      <c r="I1617" t="str">
        <f t="shared" si="25"/>
        <v>Macrodon ancylodonBangamary</v>
      </c>
    </row>
    <row r="1618" spans="1:9" x14ac:dyDescent="0.35">
      <c r="A1618">
        <v>26</v>
      </c>
      <c r="B1618">
        <v>2018</v>
      </c>
      <c r="C1618">
        <v>1</v>
      </c>
      <c r="D1618" t="s">
        <v>175</v>
      </c>
      <c r="E1618" t="s">
        <v>349</v>
      </c>
      <c r="F1618" t="s">
        <v>40</v>
      </c>
      <c r="G1618" t="s">
        <v>35</v>
      </c>
      <c r="H1618" s="4">
        <v>18</v>
      </c>
      <c r="I1618" t="str">
        <f t="shared" si="25"/>
        <v>Macrodon ancylodonBangamary</v>
      </c>
    </row>
    <row r="1619" spans="1:9" x14ac:dyDescent="0.35">
      <c r="A1619">
        <v>26</v>
      </c>
      <c r="B1619">
        <v>2018</v>
      </c>
      <c r="C1619">
        <v>1</v>
      </c>
      <c r="D1619" t="s">
        <v>175</v>
      </c>
      <c r="E1619" t="s">
        <v>349</v>
      </c>
      <c r="F1619" t="s">
        <v>40</v>
      </c>
      <c r="G1619" t="s">
        <v>35</v>
      </c>
      <c r="H1619" s="4">
        <v>19</v>
      </c>
      <c r="I1619" t="str">
        <f t="shared" si="25"/>
        <v>Macrodon ancylodonBangamary</v>
      </c>
    </row>
    <row r="1620" spans="1:9" x14ac:dyDescent="0.35">
      <c r="A1620">
        <v>26</v>
      </c>
      <c r="B1620">
        <v>2018</v>
      </c>
      <c r="C1620">
        <v>1</v>
      </c>
      <c r="D1620" t="s">
        <v>175</v>
      </c>
      <c r="E1620" t="s">
        <v>349</v>
      </c>
      <c r="F1620" t="s">
        <v>40</v>
      </c>
      <c r="G1620" t="s">
        <v>35</v>
      </c>
      <c r="H1620" s="4">
        <v>19</v>
      </c>
      <c r="I1620" t="str">
        <f t="shared" si="25"/>
        <v>Macrodon ancylodonBangamary</v>
      </c>
    </row>
    <row r="1621" spans="1:9" x14ac:dyDescent="0.35">
      <c r="A1621">
        <v>26</v>
      </c>
      <c r="B1621">
        <v>2018</v>
      </c>
      <c r="C1621">
        <v>1</v>
      </c>
      <c r="D1621" t="s">
        <v>175</v>
      </c>
      <c r="E1621" t="s">
        <v>349</v>
      </c>
      <c r="F1621" t="s">
        <v>40</v>
      </c>
      <c r="G1621" t="s">
        <v>35</v>
      </c>
      <c r="H1621" s="4">
        <v>20</v>
      </c>
      <c r="I1621" t="str">
        <f t="shared" si="25"/>
        <v>Macrodon ancylodonBangamary</v>
      </c>
    </row>
    <row r="1622" spans="1:9" x14ac:dyDescent="0.35">
      <c r="A1622">
        <v>26</v>
      </c>
      <c r="B1622">
        <v>2018</v>
      </c>
      <c r="C1622">
        <v>1</v>
      </c>
      <c r="D1622" t="s">
        <v>175</v>
      </c>
      <c r="E1622" t="s">
        <v>349</v>
      </c>
      <c r="F1622" t="s">
        <v>40</v>
      </c>
      <c r="G1622" t="s">
        <v>35</v>
      </c>
      <c r="H1622" s="4">
        <v>21</v>
      </c>
      <c r="I1622" t="str">
        <f t="shared" si="25"/>
        <v>Macrodon ancylodonBangamary</v>
      </c>
    </row>
    <row r="1623" spans="1:9" x14ac:dyDescent="0.35">
      <c r="A1623">
        <v>26</v>
      </c>
      <c r="B1623">
        <v>2018</v>
      </c>
      <c r="C1623">
        <v>1</v>
      </c>
      <c r="D1623" t="s">
        <v>175</v>
      </c>
      <c r="E1623" t="s">
        <v>349</v>
      </c>
      <c r="F1623" t="s">
        <v>40</v>
      </c>
      <c r="G1623" t="s">
        <v>35</v>
      </c>
      <c r="H1623" s="4">
        <v>21</v>
      </c>
      <c r="I1623" t="str">
        <f t="shared" si="25"/>
        <v>Macrodon ancylodonBangamary</v>
      </c>
    </row>
    <row r="1624" spans="1:9" x14ac:dyDescent="0.35">
      <c r="A1624">
        <v>26</v>
      </c>
      <c r="B1624">
        <v>2018</v>
      </c>
      <c r="C1624">
        <v>1</v>
      </c>
      <c r="D1624" t="s">
        <v>175</v>
      </c>
      <c r="E1624" t="s">
        <v>349</v>
      </c>
      <c r="F1624" t="s">
        <v>40</v>
      </c>
      <c r="G1624" t="s">
        <v>35</v>
      </c>
      <c r="H1624" s="4">
        <v>23</v>
      </c>
      <c r="I1624" t="str">
        <f t="shared" si="25"/>
        <v>Macrodon ancylodonBangamary</v>
      </c>
    </row>
    <row r="1625" spans="1:9" x14ac:dyDescent="0.35">
      <c r="A1625">
        <v>26</v>
      </c>
      <c r="B1625">
        <v>2018</v>
      </c>
      <c r="C1625">
        <v>1</v>
      </c>
      <c r="D1625" t="s">
        <v>175</v>
      </c>
      <c r="E1625" t="s">
        <v>349</v>
      </c>
      <c r="F1625" t="s">
        <v>40</v>
      </c>
      <c r="G1625" t="s">
        <v>35</v>
      </c>
      <c r="H1625" s="4">
        <v>24</v>
      </c>
      <c r="I1625" t="str">
        <f t="shared" si="25"/>
        <v>Macrodon ancylodonBangamary</v>
      </c>
    </row>
    <row r="1626" spans="1:9" x14ac:dyDescent="0.35">
      <c r="A1626">
        <v>26</v>
      </c>
      <c r="B1626">
        <v>2018</v>
      </c>
      <c r="C1626">
        <v>1</v>
      </c>
      <c r="D1626" t="s">
        <v>175</v>
      </c>
      <c r="E1626" t="s">
        <v>349</v>
      </c>
      <c r="F1626" t="s">
        <v>40</v>
      </c>
      <c r="G1626" t="s">
        <v>35</v>
      </c>
      <c r="H1626" s="4">
        <v>27</v>
      </c>
      <c r="I1626" t="str">
        <f t="shared" si="25"/>
        <v>Macrodon ancylodonBangamary</v>
      </c>
    </row>
    <row r="1627" spans="1:9" x14ac:dyDescent="0.35">
      <c r="A1627">
        <v>26</v>
      </c>
      <c r="B1627">
        <v>2018</v>
      </c>
      <c r="C1627">
        <v>1</v>
      </c>
      <c r="D1627" t="s">
        <v>175</v>
      </c>
      <c r="E1627" t="s">
        <v>349</v>
      </c>
      <c r="F1627" t="s">
        <v>58</v>
      </c>
      <c r="G1627" t="s">
        <v>59</v>
      </c>
      <c r="H1627" s="4">
        <v>6</v>
      </c>
      <c r="I1627" t="str">
        <f t="shared" si="25"/>
        <v>Stellifer rastriferRockhead</v>
      </c>
    </row>
    <row r="1628" spans="1:9" x14ac:dyDescent="0.35">
      <c r="A1628">
        <v>26</v>
      </c>
      <c r="B1628">
        <v>2018</v>
      </c>
      <c r="C1628">
        <v>1</v>
      </c>
      <c r="D1628" t="s">
        <v>175</v>
      </c>
      <c r="E1628" t="s">
        <v>349</v>
      </c>
      <c r="F1628" t="s">
        <v>58</v>
      </c>
      <c r="G1628" t="s">
        <v>59</v>
      </c>
      <c r="H1628" s="4">
        <v>6</v>
      </c>
      <c r="I1628" t="str">
        <f t="shared" si="25"/>
        <v>Stellifer rastriferRockhead</v>
      </c>
    </row>
    <row r="1629" spans="1:9" x14ac:dyDescent="0.35">
      <c r="A1629">
        <v>26</v>
      </c>
      <c r="B1629">
        <v>2018</v>
      </c>
      <c r="C1629">
        <v>1</v>
      </c>
      <c r="D1629" t="s">
        <v>175</v>
      </c>
      <c r="E1629" t="s">
        <v>349</v>
      </c>
      <c r="F1629" t="s">
        <v>58</v>
      </c>
      <c r="G1629" t="s">
        <v>59</v>
      </c>
      <c r="H1629" s="4">
        <v>6</v>
      </c>
      <c r="I1629" t="str">
        <f t="shared" si="25"/>
        <v>Stellifer rastriferRockhead</v>
      </c>
    </row>
    <row r="1630" spans="1:9" x14ac:dyDescent="0.35">
      <c r="A1630">
        <v>26</v>
      </c>
      <c r="B1630">
        <v>2018</v>
      </c>
      <c r="C1630">
        <v>1</v>
      </c>
      <c r="D1630" t="s">
        <v>175</v>
      </c>
      <c r="E1630" t="s">
        <v>349</v>
      </c>
      <c r="F1630" t="s">
        <v>58</v>
      </c>
      <c r="G1630" t="s">
        <v>59</v>
      </c>
      <c r="H1630" s="4">
        <v>6</v>
      </c>
      <c r="I1630" t="str">
        <f t="shared" si="25"/>
        <v>Stellifer rastriferRockhead</v>
      </c>
    </row>
    <row r="1631" spans="1:9" x14ac:dyDescent="0.35">
      <c r="A1631">
        <v>26</v>
      </c>
      <c r="B1631">
        <v>2018</v>
      </c>
      <c r="C1631">
        <v>1</v>
      </c>
      <c r="D1631" t="s">
        <v>175</v>
      </c>
      <c r="E1631" t="s">
        <v>349</v>
      </c>
      <c r="F1631" t="s">
        <v>58</v>
      </c>
      <c r="G1631" t="s">
        <v>59</v>
      </c>
      <c r="H1631" s="4">
        <v>6</v>
      </c>
      <c r="I1631" t="str">
        <f t="shared" si="25"/>
        <v>Stellifer rastriferRockhead</v>
      </c>
    </row>
    <row r="1632" spans="1:9" x14ac:dyDescent="0.35">
      <c r="A1632">
        <v>26</v>
      </c>
      <c r="B1632">
        <v>2018</v>
      </c>
      <c r="C1632">
        <v>1</v>
      </c>
      <c r="D1632" t="s">
        <v>175</v>
      </c>
      <c r="E1632" t="s">
        <v>349</v>
      </c>
      <c r="F1632" t="s">
        <v>58</v>
      </c>
      <c r="G1632" t="s">
        <v>59</v>
      </c>
      <c r="H1632" s="4">
        <v>7</v>
      </c>
      <c r="I1632" t="str">
        <f t="shared" si="25"/>
        <v>Stellifer rastriferRockhead</v>
      </c>
    </row>
    <row r="1633" spans="1:9" x14ac:dyDescent="0.35">
      <c r="A1633">
        <v>26</v>
      </c>
      <c r="B1633">
        <v>2018</v>
      </c>
      <c r="C1633">
        <v>1</v>
      </c>
      <c r="D1633" t="s">
        <v>175</v>
      </c>
      <c r="E1633" t="s">
        <v>349</v>
      </c>
      <c r="F1633" t="s">
        <v>58</v>
      </c>
      <c r="G1633" t="s">
        <v>59</v>
      </c>
      <c r="H1633" s="4">
        <v>7</v>
      </c>
      <c r="I1633" t="str">
        <f t="shared" si="25"/>
        <v>Stellifer rastriferRockhead</v>
      </c>
    </row>
    <row r="1634" spans="1:9" x14ac:dyDescent="0.35">
      <c r="A1634">
        <v>26</v>
      </c>
      <c r="B1634">
        <v>2018</v>
      </c>
      <c r="C1634">
        <v>1</v>
      </c>
      <c r="D1634" t="s">
        <v>175</v>
      </c>
      <c r="E1634" t="s">
        <v>349</v>
      </c>
      <c r="F1634" t="s">
        <v>58</v>
      </c>
      <c r="G1634" t="s">
        <v>59</v>
      </c>
      <c r="H1634" s="4">
        <v>7</v>
      </c>
      <c r="I1634" t="str">
        <f t="shared" si="25"/>
        <v>Stellifer rastriferRockhead</v>
      </c>
    </row>
    <row r="1635" spans="1:9" x14ac:dyDescent="0.35">
      <c r="A1635">
        <v>26</v>
      </c>
      <c r="B1635">
        <v>2018</v>
      </c>
      <c r="C1635">
        <v>1</v>
      </c>
      <c r="D1635" t="s">
        <v>175</v>
      </c>
      <c r="E1635" t="s">
        <v>349</v>
      </c>
      <c r="F1635" t="s">
        <v>58</v>
      </c>
      <c r="G1635" t="s">
        <v>59</v>
      </c>
      <c r="H1635" s="4">
        <v>7</v>
      </c>
      <c r="I1635" t="str">
        <f t="shared" si="25"/>
        <v>Stellifer rastriferRockhead</v>
      </c>
    </row>
    <row r="1636" spans="1:9" x14ac:dyDescent="0.35">
      <c r="A1636">
        <v>26</v>
      </c>
      <c r="B1636">
        <v>2018</v>
      </c>
      <c r="C1636">
        <v>1</v>
      </c>
      <c r="D1636" t="s">
        <v>175</v>
      </c>
      <c r="E1636" t="s">
        <v>349</v>
      </c>
      <c r="F1636" t="s">
        <v>58</v>
      </c>
      <c r="G1636" t="s">
        <v>59</v>
      </c>
      <c r="H1636" s="4">
        <v>8</v>
      </c>
      <c r="I1636" t="str">
        <f t="shared" si="25"/>
        <v>Stellifer rastriferRockhead</v>
      </c>
    </row>
    <row r="1637" spans="1:9" x14ac:dyDescent="0.35">
      <c r="A1637">
        <v>26</v>
      </c>
      <c r="B1637">
        <v>2018</v>
      </c>
      <c r="C1637">
        <v>1</v>
      </c>
      <c r="D1637" t="s">
        <v>175</v>
      </c>
      <c r="E1637" t="s">
        <v>349</v>
      </c>
      <c r="F1637" t="s">
        <v>58</v>
      </c>
      <c r="G1637" t="s">
        <v>59</v>
      </c>
      <c r="H1637" s="4">
        <v>8</v>
      </c>
      <c r="I1637" t="str">
        <f t="shared" si="25"/>
        <v>Stellifer rastriferRockhead</v>
      </c>
    </row>
    <row r="1638" spans="1:9" x14ac:dyDescent="0.35">
      <c r="A1638">
        <v>26</v>
      </c>
      <c r="B1638">
        <v>2018</v>
      </c>
      <c r="C1638">
        <v>1</v>
      </c>
      <c r="D1638" t="s">
        <v>175</v>
      </c>
      <c r="E1638" t="s">
        <v>349</v>
      </c>
      <c r="F1638" t="s">
        <v>58</v>
      </c>
      <c r="G1638" t="s">
        <v>59</v>
      </c>
      <c r="H1638" s="4">
        <v>8</v>
      </c>
      <c r="I1638" t="str">
        <f t="shared" si="25"/>
        <v>Stellifer rastriferRockhead</v>
      </c>
    </row>
    <row r="1639" spans="1:9" x14ac:dyDescent="0.35">
      <c r="A1639">
        <v>26</v>
      </c>
      <c r="B1639">
        <v>2018</v>
      </c>
      <c r="C1639">
        <v>1</v>
      </c>
      <c r="D1639" t="s">
        <v>175</v>
      </c>
      <c r="E1639" t="s">
        <v>349</v>
      </c>
      <c r="F1639" t="s">
        <v>58</v>
      </c>
      <c r="G1639" t="s">
        <v>59</v>
      </c>
      <c r="H1639" s="4">
        <v>8</v>
      </c>
      <c r="I1639" t="str">
        <f t="shared" si="25"/>
        <v>Stellifer rastriferRockhead</v>
      </c>
    </row>
    <row r="1640" spans="1:9" x14ac:dyDescent="0.35">
      <c r="A1640">
        <v>26</v>
      </c>
      <c r="B1640">
        <v>2018</v>
      </c>
      <c r="C1640">
        <v>1</v>
      </c>
      <c r="D1640" t="s">
        <v>175</v>
      </c>
      <c r="E1640" t="s">
        <v>349</v>
      </c>
      <c r="F1640" t="s">
        <v>58</v>
      </c>
      <c r="G1640" t="s">
        <v>59</v>
      </c>
      <c r="H1640" s="4">
        <v>8</v>
      </c>
      <c r="I1640" t="str">
        <f t="shared" si="25"/>
        <v>Stellifer rastriferRockhead</v>
      </c>
    </row>
    <row r="1641" spans="1:9" x14ac:dyDescent="0.35">
      <c r="A1641">
        <v>26</v>
      </c>
      <c r="B1641">
        <v>2018</v>
      </c>
      <c r="C1641">
        <v>1</v>
      </c>
      <c r="D1641" t="s">
        <v>175</v>
      </c>
      <c r="E1641" t="s">
        <v>349</v>
      </c>
      <c r="F1641" t="s">
        <v>58</v>
      </c>
      <c r="G1641" t="s">
        <v>59</v>
      </c>
      <c r="H1641" s="4">
        <v>8</v>
      </c>
      <c r="I1641" t="str">
        <f t="shared" si="25"/>
        <v>Stellifer rastriferRockhead</v>
      </c>
    </row>
    <row r="1642" spans="1:9" x14ac:dyDescent="0.35">
      <c r="A1642">
        <v>26</v>
      </c>
      <c r="B1642">
        <v>2018</v>
      </c>
      <c r="C1642">
        <v>1</v>
      </c>
      <c r="D1642" t="s">
        <v>175</v>
      </c>
      <c r="E1642" t="s">
        <v>349</v>
      </c>
      <c r="F1642" t="s">
        <v>58</v>
      </c>
      <c r="G1642" t="s">
        <v>59</v>
      </c>
      <c r="H1642" s="4">
        <v>8</v>
      </c>
      <c r="I1642" t="str">
        <f t="shared" si="25"/>
        <v>Stellifer rastriferRockhead</v>
      </c>
    </row>
    <row r="1643" spans="1:9" x14ac:dyDescent="0.35">
      <c r="A1643">
        <v>26</v>
      </c>
      <c r="B1643">
        <v>2018</v>
      </c>
      <c r="C1643">
        <v>1</v>
      </c>
      <c r="D1643" t="s">
        <v>175</v>
      </c>
      <c r="E1643" t="s">
        <v>349</v>
      </c>
      <c r="F1643" t="s">
        <v>58</v>
      </c>
      <c r="G1643" t="s">
        <v>59</v>
      </c>
      <c r="H1643" s="4">
        <v>8</v>
      </c>
      <c r="I1643" t="str">
        <f t="shared" si="25"/>
        <v>Stellifer rastriferRockhead</v>
      </c>
    </row>
    <row r="1644" spans="1:9" x14ac:dyDescent="0.35">
      <c r="A1644">
        <v>26</v>
      </c>
      <c r="B1644">
        <v>2018</v>
      </c>
      <c r="C1644">
        <v>1</v>
      </c>
      <c r="D1644" t="s">
        <v>175</v>
      </c>
      <c r="E1644" t="s">
        <v>349</v>
      </c>
      <c r="F1644" t="s">
        <v>58</v>
      </c>
      <c r="G1644" t="s">
        <v>59</v>
      </c>
      <c r="H1644" s="4">
        <v>8</v>
      </c>
      <c r="I1644" t="str">
        <f t="shared" si="25"/>
        <v>Stellifer rastriferRockhead</v>
      </c>
    </row>
    <row r="1645" spans="1:9" x14ac:dyDescent="0.35">
      <c r="A1645">
        <v>26</v>
      </c>
      <c r="B1645">
        <v>2018</v>
      </c>
      <c r="C1645">
        <v>1</v>
      </c>
      <c r="D1645" t="s">
        <v>175</v>
      </c>
      <c r="E1645" t="s">
        <v>349</v>
      </c>
      <c r="F1645" t="s">
        <v>58</v>
      </c>
      <c r="G1645" t="s">
        <v>59</v>
      </c>
      <c r="H1645" s="4">
        <v>8</v>
      </c>
      <c r="I1645" t="str">
        <f t="shared" si="25"/>
        <v>Stellifer rastriferRockhead</v>
      </c>
    </row>
    <row r="1646" spans="1:9" x14ac:dyDescent="0.35">
      <c r="A1646">
        <v>26</v>
      </c>
      <c r="B1646">
        <v>2018</v>
      </c>
      <c r="C1646">
        <v>1</v>
      </c>
      <c r="D1646" t="s">
        <v>175</v>
      </c>
      <c r="E1646" t="s">
        <v>349</v>
      </c>
      <c r="F1646" t="s">
        <v>58</v>
      </c>
      <c r="G1646" t="s">
        <v>59</v>
      </c>
      <c r="H1646" s="4">
        <v>8</v>
      </c>
      <c r="I1646" t="str">
        <f t="shared" si="25"/>
        <v>Stellifer rastriferRockhead</v>
      </c>
    </row>
    <row r="1647" spans="1:9" x14ac:dyDescent="0.35">
      <c r="A1647">
        <v>26</v>
      </c>
      <c r="B1647">
        <v>2018</v>
      </c>
      <c r="C1647">
        <v>1</v>
      </c>
      <c r="D1647" t="s">
        <v>175</v>
      </c>
      <c r="E1647" t="s">
        <v>349</v>
      </c>
      <c r="F1647" t="s">
        <v>58</v>
      </c>
      <c r="G1647" t="s">
        <v>59</v>
      </c>
      <c r="H1647" s="4">
        <v>9</v>
      </c>
      <c r="I1647" t="str">
        <f t="shared" si="25"/>
        <v>Stellifer rastriferRockhead</v>
      </c>
    </row>
    <row r="1648" spans="1:9" x14ac:dyDescent="0.35">
      <c r="A1648">
        <v>26</v>
      </c>
      <c r="B1648">
        <v>2018</v>
      </c>
      <c r="C1648">
        <v>1</v>
      </c>
      <c r="D1648" t="s">
        <v>175</v>
      </c>
      <c r="E1648" t="s">
        <v>349</v>
      </c>
      <c r="F1648" t="s">
        <v>58</v>
      </c>
      <c r="G1648" t="s">
        <v>59</v>
      </c>
      <c r="H1648" s="4">
        <v>9</v>
      </c>
      <c r="I1648" t="str">
        <f t="shared" si="25"/>
        <v>Stellifer rastriferRockhead</v>
      </c>
    </row>
    <row r="1649" spans="1:9" x14ac:dyDescent="0.35">
      <c r="A1649">
        <v>26</v>
      </c>
      <c r="B1649">
        <v>2018</v>
      </c>
      <c r="C1649">
        <v>1</v>
      </c>
      <c r="D1649" t="s">
        <v>175</v>
      </c>
      <c r="E1649" t="s">
        <v>349</v>
      </c>
      <c r="F1649" t="s">
        <v>58</v>
      </c>
      <c r="G1649" t="s">
        <v>59</v>
      </c>
      <c r="H1649" s="4">
        <v>10</v>
      </c>
      <c r="I1649" t="str">
        <f t="shared" si="25"/>
        <v>Stellifer rastriferRockhead</v>
      </c>
    </row>
    <row r="1650" spans="1:9" x14ac:dyDescent="0.35">
      <c r="A1650">
        <v>26</v>
      </c>
      <c r="B1650">
        <v>2018</v>
      </c>
      <c r="C1650">
        <v>1</v>
      </c>
      <c r="D1650" t="s">
        <v>175</v>
      </c>
      <c r="E1650" t="s">
        <v>349</v>
      </c>
      <c r="F1650" t="s">
        <v>58</v>
      </c>
      <c r="G1650" t="s">
        <v>59</v>
      </c>
      <c r="H1650" s="4">
        <v>10</v>
      </c>
      <c r="I1650" t="str">
        <f t="shared" si="25"/>
        <v>Stellifer rastriferRockhead</v>
      </c>
    </row>
    <row r="1651" spans="1:9" x14ac:dyDescent="0.35">
      <c r="A1651">
        <v>26</v>
      </c>
      <c r="B1651">
        <v>2018</v>
      </c>
      <c r="C1651">
        <v>1</v>
      </c>
      <c r="D1651" t="s">
        <v>175</v>
      </c>
      <c r="E1651" t="s">
        <v>349</v>
      </c>
      <c r="F1651" t="s">
        <v>58</v>
      </c>
      <c r="G1651" t="s">
        <v>59</v>
      </c>
      <c r="H1651" s="4">
        <v>10</v>
      </c>
      <c r="I1651" t="str">
        <f t="shared" si="25"/>
        <v>Stellifer rastriferRockhead</v>
      </c>
    </row>
    <row r="1652" spans="1:9" x14ac:dyDescent="0.35">
      <c r="A1652">
        <v>26</v>
      </c>
      <c r="B1652">
        <v>2018</v>
      </c>
      <c r="C1652">
        <v>1</v>
      </c>
      <c r="D1652" t="s">
        <v>175</v>
      </c>
      <c r="E1652" t="s">
        <v>349</v>
      </c>
      <c r="F1652" t="s">
        <v>58</v>
      </c>
      <c r="G1652" t="s">
        <v>59</v>
      </c>
      <c r="H1652" s="4">
        <v>10</v>
      </c>
      <c r="I1652" t="str">
        <f t="shared" si="25"/>
        <v>Stellifer rastriferRockhead</v>
      </c>
    </row>
    <row r="1653" spans="1:9" x14ac:dyDescent="0.35">
      <c r="A1653">
        <v>26</v>
      </c>
      <c r="B1653">
        <v>2018</v>
      </c>
      <c r="C1653">
        <v>1</v>
      </c>
      <c r="D1653" t="s">
        <v>175</v>
      </c>
      <c r="E1653" t="s">
        <v>349</v>
      </c>
      <c r="F1653" t="s">
        <v>58</v>
      </c>
      <c r="G1653" t="s">
        <v>59</v>
      </c>
      <c r="H1653" s="4">
        <v>10</v>
      </c>
      <c r="I1653" t="str">
        <f t="shared" si="25"/>
        <v>Stellifer rastriferRockhead</v>
      </c>
    </row>
    <row r="1654" spans="1:9" x14ac:dyDescent="0.35">
      <c r="A1654">
        <v>26</v>
      </c>
      <c r="B1654">
        <v>2018</v>
      </c>
      <c r="C1654">
        <v>1</v>
      </c>
      <c r="D1654" t="s">
        <v>175</v>
      </c>
      <c r="E1654" t="s">
        <v>349</v>
      </c>
      <c r="F1654" t="s">
        <v>58</v>
      </c>
      <c r="G1654" t="s">
        <v>59</v>
      </c>
      <c r="H1654" s="4">
        <v>10</v>
      </c>
      <c r="I1654" t="str">
        <f t="shared" si="25"/>
        <v>Stellifer rastriferRockhead</v>
      </c>
    </row>
    <row r="1655" spans="1:9" x14ac:dyDescent="0.35">
      <c r="A1655">
        <v>26</v>
      </c>
      <c r="B1655">
        <v>2018</v>
      </c>
      <c r="C1655">
        <v>1</v>
      </c>
      <c r="D1655" t="s">
        <v>175</v>
      </c>
      <c r="E1655" t="s">
        <v>349</v>
      </c>
      <c r="F1655" t="s">
        <v>58</v>
      </c>
      <c r="G1655" t="s">
        <v>59</v>
      </c>
      <c r="H1655" s="4">
        <v>11</v>
      </c>
      <c r="I1655" t="str">
        <f t="shared" si="25"/>
        <v>Stellifer rastriferRockhead</v>
      </c>
    </row>
    <row r="1656" spans="1:9" x14ac:dyDescent="0.35">
      <c r="A1656">
        <v>26</v>
      </c>
      <c r="B1656">
        <v>2018</v>
      </c>
      <c r="C1656">
        <v>1</v>
      </c>
      <c r="D1656" t="s">
        <v>175</v>
      </c>
      <c r="E1656" t="s">
        <v>349</v>
      </c>
      <c r="F1656" t="s">
        <v>58</v>
      </c>
      <c r="G1656" t="s">
        <v>59</v>
      </c>
      <c r="H1656" s="4">
        <v>11</v>
      </c>
      <c r="I1656" t="str">
        <f t="shared" si="25"/>
        <v>Stellifer rastriferRockhead</v>
      </c>
    </row>
    <row r="1657" spans="1:9" x14ac:dyDescent="0.35">
      <c r="A1657">
        <v>26</v>
      </c>
      <c r="B1657">
        <v>2018</v>
      </c>
      <c r="C1657">
        <v>1</v>
      </c>
      <c r="D1657" t="s">
        <v>175</v>
      </c>
      <c r="E1657" t="s">
        <v>349</v>
      </c>
      <c r="F1657" t="s">
        <v>58</v>
      </c>
      <c r="G1657" t="s">
        <v>59</v>
      </c>
      <c r="H1657" s="4">
        <v>12</v>
      </c>
      <c r="I1657" t="str">
        <f t="shared" si="25"/>
        <v>Stellifer rastriferRockhead</v>
      </c>
    </row>
    <row r="1658" spans="1:9" x14ac:dyDescent="0.35">
      <c r="A1658">
        <v>26</v>
      </c>
      <c r="B1658">
        <v>2018</v>
      </c>
      <c r="C1658">
        <v>1</v>
      </c>
      <c r="D1658" t="s">
        <v>175</v>
      </c>
      <c r="E1658" t="s">
        <v>349</v>
      </c>
      <c r="F1658" t="s">
        <v>58</v>
      </c>
      <c r="G1658" t="s">
        <v>59</v>
      </c>
      <c r="H1658" s="4">
        <v>13</v>
      </c>
      <c r="I1658" t="str">
        <f t="shared" si="25"/>
        <v>Stellifer rastriferRockhead</v>
      </c>
    </row>
    <row r="1659" spans="1:9" x14ac:dyDescent="0.35">
      <c r="A1659">
        <v>26</v>
      </c>
      <c r="B1659">
        <v>2018</v>
      </c>
      <c r="C1659">
        <v>1</v>
      </c>
      <c r="D1659" t="s">
        <v>175</v>
      </c>
      <c r="E1659" t="s">
        <v>349</v>
      </c>
      <c r="F1659" t="s">
        <v>6</v>
      </c>
      <c r="G1659" t="s">
        <v>37</v>
      </c>
      <c r="H1659" s="4">
        <v>11</v>
      </c>
      <c r="I1659" t="str">
        <f t="shared" si="25"/>
        <v>Symphurus plagusiaTongue fish</v>
      </c>
    </row>
    <row r="1660" spans="1:9" x14ac:dyDescent="0.35">
      <c r="A1660">
        <v>26</v>
      </c>
      <c r="B1660">
        <v>2018</v>
      </c>
      <c r="C1660">
        <v>1</v>
      </c>
      <c r="D1660" t="s">
        <v>175</v>
      </c>
      <c r="E1660" t="s">
        <v>349</v>
      </c>
      <c r="F1660" t="s">
        <v>6</v>
      </c>
      <c r="G1660" t="s">
        <v>37</v>
      </c>
      <c r="H1660" s="4">
        <v>11</v>
      </c>
      <c r="I1660" t="str">
        <f t="shared" si="25"/>
        <v>Symphurus plagusiaTongue fish</v>
      </c>
    </row>
    <row r="1661" spans="1:9" x14ac:dyDescent="0.35">
      <c r="A1661">
        <v>26</v>
      </c>
      <c r="B1661">
        <v>2018</v>
      </c>
      <c r="C1661">
        <v>1</v>
      </c>
      <c r="D1661" t="s">
        <v>175</v>
      </c>
      <c r="E1661" t="s">
        <v>349</v>
      </c>
      <c r="F1661" t="s">
        <v>6</v>
      </c>
      <c r="G1661" t="s">
        <v>37</v>
      </c>
      <c r="H1661" s="4">
        <v>1</v>
      </c>
      <c r="I1661" t="str">
        <f t="shared" si="25"/>
        <v>Symphurus plagusiaTongue fish</v>
      </c>
    </row>
    <row r="1662" spans="1:9" x14ac:dyDescent="0.35">
      <c r="A1662">
        <v>26</v>
      </c>
      <c r="B1662">
        <v>2018</v>
      </c>
      <c r="C1662">
        <v>1</v>
      </c>
      <c r="D1662" t="s">
        <v>175</v>
      </c>
      <c r="E1662" t="s">
        <v>349</v>
      </c>
      <c r="F1662" t="s">
        <v>6</v>
      </c>
      <c r="G1662" t="s">
        <v>37</v>
      </c>
      <c r="H1662" s="4">
        <v>13</v>
      </c>
      <c r="I1662" t="str">
        <f t="shared" si="25"/>
        <v>Symphurus plagusiaTongue fish</v>
      </c>
    </row>
    <row r="1663" spans="1:9" x14ac:dyDescent="0.35">
      <c r="A1663">
        <v>26</v>
      </c>
      <c r="B1663">
        <v>2018</v>
      </c>
      <c r="C1663">
        <v>1</v>
      </c>
      <c r="D1663" t="s">
        <v>175</v>
      </c>
      <c r="E1663" t="s">
        <v>349</v>
      </c>
      <c r="F1663" t="s">
        <v>6</v>
      </c>
      <c r="G1663" t="s">
        <v>37</v>
      </c>
      <c r="H1663" s="4">
        <v>13</v>
      </c>
      <c r="I1663" t="str">
        <f t="shared" si="25"/>
        <v>Symphurus plagusiaTongue fish</v>
      </c>
    </row>
    <row r="1664" spans="1:9" x14ac:dyDescent="0.35">
      <c r="A1664">
        <v>26</v>
      </c>
      <c r="B1664">
        <v>2018</v>
      </c>
      <c r="C1664">
        <v>1</v>
      </c>
      <c r="D1664" t="s">
        <v>175</v>
      </c>
      <c r="E1664" t="s">
        <v>349</v>
      </c>
      <c r="F1664" t="s">
        <v>6</v>
      </c>
      <c r="G1664" t="s">
        <v>37</v>
      </c>
      <c r="H1664" s="4">
        <v>13</v>
      </c>
      <c r="I1664" t="str">
        <f t="shared" si="25"/>
        <v>Symphurus plagusiaTongue fish</v>
      </c>
    </row>
    <row r="1665" spans="1:9" x14ac:dyDescent="0.35">
      <c r="A1665">
        <v>26</v>
      </c>
      <c r="B1665">
        <v>2018</v>
      </c>
      <c r="C1665">
        <v>1</v>
      </c>
      <c r="D1665" t="s">
        <v>175</v>
      </c>
      <c r="E1665" t="s">
        <v>349</v>
      </c>
      <c r="F1665" t="s">
        <v>6</v>
      </c>
      <c r="G1665" t="s">
        <v>37</v>
      </c>
      <c r="H1665" s="4">
        <v>13</v>
      </c>
      <c r="I1665" t="str">
        <f t="shared" si="25"/>
        <v>Symphurus plagusiaTongue fish</v>
      </c>
    </row>
    <row r="1666" spans="1:9" x14ac:dyDescent="0.35">
      <c r="A1666">
        <v>26</v>
      </c>
      <c r="B1666">
        <v>2018</v>
      </c>
      <c r="C1666">
        <v>1</v>
      </c>
      <c r="D1666" t="s">
        <v>175</v>
      </c>
      <c r="E1666" t="s">
        <v>349</v>
      </c>
      <c r="F1666" t="s">
        <v>6</v>
      </c>
      <c r="G1666" t="s">
        <v>37</v>
      </c>
      <c r="H1666" s="4">
        <v>13</v>
      </c>
      <c r="I1666" t="str">
        <f t="shared" ref="I1666:I1729" si="26">CONCATENATE(F1666,G1666)</f>
        <v>Symphurus plagusiaTongue fish</v>
      </c>
    </row>
    <row r="1667" spans="1:9" x14ac:dyDescent="0.35">
      <c r="A1667">
        <v>26</v>
      </c>
      <c r="B1667">
        <v>2018</v>
      </c>
      <c r="C1667">
        <v>1</v>
      </c>
      <c r="D1667" t="s">
        <v>175</v>
      </c>
      <c r="E1667" t="s">
        <v>349</v>
      </c>
      <c r="F1667" t="s">
        <v>6</v>
      </c>
      <c r="G1667" t="s">
        <v>37</v>
      </c>
      <c r="H1667" s="4">
        <v>13</v>
      </c>
      <c r="I1667" t="str">
        <f t="shared" si="26"/>
        <v>Symphurus plagusiaTongue fish</v>
      </c>
    </row>
    <row r="1668" spans="1:9" x14ac:dyDescent="0.35">
      <c r="A1668">
        <v>26</v>
      </c>
      <c r="B1668">
        <v>2018</v>
      </c>
      <c r="C1668">
        <v>1</v>
      </c>
      <c r="D1668" t="s">
        <v>175</v>
      </c>
      <c r="E1668" t="s">
        <v>349</v>
      </c>
      <c r="F1668" t="s">
        <v>6</v>
      </c>
      <c r="G1668" t="s">
        <v>37</v>
      </c>
      <c r="H1668" s="4">
        <v>13</v>
      </c>
      <c r="I1668" t="str">
        <f t="shared" si="26"/>
        <v>Symphurus plagusiaTongue fish</v>
      </c>
    </row>
    <row r="1669" spans="1:9" x14ac:dyDescent="0.35">
      <c r="A1669">
        <v>26</v>
      </c>
      <c r="B1669">
        <v>2018</v>
      </c>
      <c r="C1669">
        <v>1</v>
      </c>
      <c r="D1669" t="s">
        <v>175</v>
      </c>
      <c r="E1669" t="s">
        <v>349</v>
      </c>
      <c r="F1669" t="s">
        <v>6</v>
      </c>
      <c r="G1669" t="s">
        <v>37</v>
      </c>
      <c r="H1669" s="4">
        <v>14</v>
      </c>
      <c r="I1669" t="str">
        <f t="shared" si="26"/>
        <v>Symphurus plagusiaTongue fish</v>
      </c>
    </row>
    <row r="1670" spans="1:9" x14ac:dyDescent="0.35">
      <c r="A1670">
        <v>26</v>
      </c>
      <c r="B1670">
        <v>2018</v>
      </c>
      <c r="C1670">
        <v>1</v>
      </c>
      <c r="D1670" t="s">
        <v>175</v>
      </c>
      <c r="E1670" t="s">
        <v>349</v>
      </c>
      <c r="F1670" t="s">
        <v>6</v>
      </c>
      <c r="G1670" t="s">
        <v>37</v>
      </c>
      <c r="H1670" s="4">
        <v>14</v>
      </c>
      <c r="I1670" t="str">
        <f t="shared" si="26"/>
        <v>Symphurus plagusiaTongue fish</v>
      </c>
    </row>
    <row r="1671" spans="1:9" x14ac:dyDescent="0.35">
      <c r="A1671">
        <v>26</v>
      </c>
      <c r="B1671">
        <v>2018</v>
      </c>
      <c r="C1671">
        <v>1</v>
      </c>
      <c r="D1671" t="s">
        <v>175</v>
      </c>
      <c r="E1671" t="s">
        <v>349</v>
      </c>
      <c r="F1671" t="s">
        <v>6</v>
      </c>
      <c r="G1671" t="s">
        <v>37</v>
      </c>
      <c r="H1671" s="4">
        <v>14</v>
      </c>
      <c r="I1671" t="str">
        <f t="shared" si="26"/>
        <v>Symphurus plagusiaTongue fish</v>
      </c>
    </row>
    <row r="1672" spans="1:9" x14ac:dyDescent="0.35">
      <c r="A1672">
        <v>26</v>
      </c>
      <c r="B1672">
        <v>2018</v>
      </c>
      <c r="C1672">
        <v>1</v>
      </c>
      <c r="D1672" t="s">
        <v>175</v>
      </c>
      <c r="E1672" t="s">
        <v>349</v>
      </c>
      <c r="F1672" t="s">
        <v>6</v>
      </c>
      <c r="G1672" t="s">
        <v>37</v>
      </c>
      <c r="H1672" s="4">
        <v>14</v>
      </c>
      <c r="I1672" t="str">
        <f t="shared" si="26"/>
        <v>Symphurus plagusiaTongue fish</v>
      </c>
    </row>
    <row r="1673" spans="1:9" x14ac:dyDescent="0.35">
      <c r="A1673">
        <v>26</v>
      </c>
      <c r="B1673">
        <v>2018</v>
      </c>
      <c r="C1673">
        <v>1</v>
      </c>
      <c r="D1673" t="s">
        <v>175</v>
      </c>
      <c r="E1673" t="s">
        <v>349</v>
      </c>
      <c r="F1673" t="s">
        <v>6</v>
      </c>
      <c r="G1673" t="s">
        <v>37</v>
      </c>
      <c r="H1673" s="4">
        <v>14</v>
      </c>
      <c r="I1673" t="str">
        <f t="shared" si="26"/>
        <v>Symphurus plagusiaTongue fish</v>
      </c>
    </row>
    <row r="1674" spans="1:9" x14ac:dyDescent="0.35">
      <c r="A1674">
        <v>26</v>
      </c>
      <c r="B1674">
        <v>2018</v>
      </c>
      <c r="C1674">
        <v>1</v>
      </c>
      <c r="D1674" t="s">
        <v>175</v>
      </c>
      <c r="E1674" t="s">
        <v>349</v>
      </c>
      <c r="F1674" t="s">
        <v>6</v>
      </c>
      <c r="G1674" t="s">
        <v>37</v>
      </c>
      <c r="H1674" s="4">
        <v>14</v>
      </c>
      <c r="I1674" t="str">
        <f t="shared" si="26"/>
        <v>Symphurus plagusiaTongue fish</v>
      </c>
    </row>
    <row r="1675" spans="1:9" x14ac:dyDescent="0.35">
      <c r="A1675">
        <v>26</v>
      </c>
      <c r="B1675">
        <v>2018</v>
      </c>
      <c r="C1675">
        <v>1</v>
      </c>
      <c r="D1675" t="s">
        <v>175</v>
      </c>
      <c r="E1675" t="s">
        <v>349</v>
      </c>
      <c r="F1675" t="s">
        <v>6</v>
      </c>
      <c r="G1675" t="s">
        <v>37</v>
      </c>
      <c r="H1675" s="4">
        <v>14</v>
      </c>
      <c r="I1675" t="str">
        <f t="shared" si="26"/>
        <v>Symphurus plagusiaTongue fish</v>
      </c>
    </row>
    <row r="1676" spans="1:9" x14ac:dyDescent="0.35">
      <c r="A1676">
        <v>26</v>
      </c>
      <c r="B1676">
        <v>2018</v>
      </c>
      <c r="C1676">
        <v>1</v>
      </c>
      <c r="D1676" t="s">
        <v>175</v>
      </c>
      <c r="E1676" t="s">
        <v>349</v>
      </c>
      <c r="F1676" t="s">
        <v>6</v>
      </c>
      <c r="G1676" t="s">
        <v>37</v>
      </c>
      <c r="H1676" s="4">
        <v>15</v>
      </c>
      <c r="I1676" t="str">
        <f t="shared" si="26"/>
        <v>Symphurus plagusiaTongue fish</v>
      </c>
    </row>
    <row r="1677" spans="1:9" x14ac:dyDescent="0.35">
      <c r="A1677">
        <v>26</v>
      </c>
      <c r="B1677">
        <v>2018</v>
      </c>
      <c r="C1677">
        <v>1</v>
      </c>
      <c r="D1677" t="s">
        <v>175</v>
      </c>
      <c r="E1677" t="s">
        <v>349</v>
      </c>
      <c r="F1677" t="s">
        <v>6</v>
      </c>
      <c r="G1677" t="s">
        <v>37</v>
      </c>
      <c r="H1677" s="4">
        <v>15</v>
      </c>
      <c r="I1677" t="str">
        <f t="shared" si="26"/>
        <v>Symphurus plagusiaTongue fish</v>
      </c>
    </row>
    <row r="1678" spans="1:9" x14ac:dyDescent="0.35">
      <c r="A1678">
        <v>26</v>
      </c>
      <c r="B1678">
        <v>2018</v>
      </c>
      <c r="C1678">
        <v>1</v>
      </c>
      <c r="D1678" t="s">
        <v>175</v>
      </c>
      <c r="E1678" t="s">
        <v>349</v>
      </c>
      <c r="F1678" t="s">
        <v>6</v>
      </c>
      <c r="G1678" t="s">
        <v>37</v>
      </c>
      <c r="H1678" s="4">
        <v>15</v>
      </c>
      <c r="I1678" t="str">
        <f t="shared" si="26"/>
        <v>Symphurus plagusiaTongue fish</v>
      </c>
    </row>
    <row r="1679" spans="1:9" x14ac:dyDescent="0.35">
      <c r="A1679">
        <v>26</v>
      </c>
      <c r="B1679">
        <v>2018</v>
      </c>
      <c r="C1679">
        <v>1</v>
      </c>
      <c r="D1679" t="s">
        <v>175</v>
      </c>
      <c r="E1679" t="s">
        <v>349</v>
      </c>
      <c r="F1679" t="s">
        <v>6</v>
      </c>
      <c r="G1679" t="s">
        <v>37</v>
      </c>
      <c r="H1679" s="4">
        <v>15</v>
      </c>
      <c r="I1679" t="str">
        <f t="shared" si="26"/>
        <v>Symphurus plagusiaTongue fish</v>
      </c>
    </row>
    <row r="1680" spans="1:9" x14ac:dyDescent="0.35">
      <c r="A1680">
        <v>26</v>
      </c>
      <c r="B1680">
        <v>2018</v>
      </c>
      <c r="C1680">
        <v>1</v>
      </c>
      <c r="D1680" t="s">
        <v>175</v>
      </c>
      <c r="E1680" t="s">
        <v>349</v>
      </c>
      <c r="F1680" t="s">
        <v>6</v>
      </c>
      <c r="G1680" t="s">
        <v>37</v>
      </c>
      <c r="H1680" s="4">
        <v>15</v>
      </c>
      <c r="I1680" t="str">
        <f t="shared" si="26"/>
        <v>Symphurus plagusiaTongue fish</v>
      </c>
    </row>
    <row r="1681" spans="1:9" x14ac:dyDescent="0.35">
      <c r="A1681">
        <v>26</v>
      </c>
      <c r="B1681">
        <v>2018</v>
      </c>
      <c r="C1681">
        <v>1</v>
      </c>
      <c r="D1681" t="s">
        <v>175</v>
      </c>
      <c r="E1681" t="s">
        <v>349</v>
      </c>
      <c r="F1681" t="s">
        <v>6</v>
      </c>
      <c r="G1681" t="s">
        <v>37</v>
      </c>
      <c r="H1681" s="4">
        <v>15</v>
      </c>
      <c r="I1681" t="str">
        <f t="shared" si="26"/>
        <v>Symphurus plagusiaTongue fish</v>
      </c>
    </row>
    <row r="1682" spans="1:9" x14ac:dyDescent="0.35">
      <c r="A1682">
        <v>26</v>
      </c>
      <c r="B1682">
        <v>2018</v>
      </c>
      <c r="C1682">
        <v>1</v>
      </c>
      <c r="D1682" t="s">
        <v>175</v>
      </c>
      <c r="E1682" t="s">
        <v>349</v>
      </c>
      <c r="F1682" t="s">
        <v>6</v>
      </c>
      <c r="G1682" t="s">
        <v>37</v>
      </c>
      <c r="H1682" s="4">
        <v>15</v>
      </c>
      <c r="I1682" t="str">
        <f t="shared" si="26"/>
        <v>Symphurus plagusiaTongue fish</v>
      </c>
    </row>
    <row r="1683" spans="1:9" x14ac:dyDescent="0.35">
      <c r="A1683">
        <v>26</v>
      </c>
      <c r="B1683">
        <v>2018</v>
      </c>
      <c r="C1683">
        <v>1</v>
      </c>
      <c r="D1683" t="s">
        <v>175</v>
      </c>
      <c r="E1683" t="s">
        <v>349</v>
      </c>
      <c r="F1683" t="s">
        <v>6</v>
      </c>
      <c r="G1683" t="s">
        <v>37</v>
      </c>
      <c r="H1683" s="4">
        <v>16</v>
      </c>
      <c r="I1683" t="str">
        <f t="shared" si="26"/>
        <v>Symphurus plagusiaTongue fish</v>
      </c>
    </row>
    <row r="1684" spans="1:9" x14ac:dyDescent="0.35">
      <c r="A1684">
        <v>26</v>
      </c>
      <c r="B1684">
        <v>2018</v>
      </c>
      <c r="C1684">
        <v>1</v>
      </c>
      <c r="D1684" t="s">
        <v>175</v>
      </c>
      <c r="E1684" t="s">
        <v>349</v>
      </c>
      <c r="F1684" t="s">
        <v>6</v>
      </c>
      <c r="G1684" t="s">
        <v>37</v>
      </c>
      <c r="H1684" s="4">
        <v>16</v>
      </c>
      <c r="I1684" t="str">
        <f t="shared" si="26"/>
        <v>Symphurus plagusiaTongue fish</v>
      </c>
    </row>
    <row r="1685" spans="1:9" x14ac:dyDescent="0.35">
      <c r="A1685">
        <v>26</v>
      </c>
      <c r="B1685">
        <v>2018</v>
      </c>
      <c r="C1685">
        <v>1</v>
      </c>
      <c r="D1685" t="s">
        <v>175</v>
      </c>
      <c r="E1685" t="s">
        <v>349</v>
      </c>
      <c r="F1685" t="s">
        <v>6</v>
      </c>
      <c r="G1685" t="s">
        <v>37</v>
      </c>
      <c r="H1685" s="4">
        <v>16</v>
      </c>
      <c r="I1685" t="str">
        <f t="shared" si="26"/>
        <v>Symphurus plagusiaTongue fish</v>
      </c>
    </row>
    <row r="1686" spans="1:9" x14ac:dyDescent="0.35">
      <c r="A1686">
        <v>26</v>
      </c>
      <c r="B1686">
        <v>2018</v>
      </c>
      <c r="C1686">
        <v>1</v>
      </c>
      <c r="D1686" t="s">
        <v>175</v>
      </c>
      <c r="E1686" t="s">
        <v>349</v>
      </c>
      <c r="F1686" t="s">
        <v>6</v>
      </c>
      <c r="G1686" t="s">
        <v>37</v>
      </c>
      <c r="H1686" s="4">
        <v>16</v>
      </c>
      <c r="I1686" t="str">
        <f t="shared" si="26"/>
        <v>Symphurus plagusiaTongue fish</v>
      </c>
    </row>
    <row r="1687" spans="1:9" x14ac:dyDescent="0.35">
      <c r="A1687">
        <v>26</v>
      </c>
      <c r="B1687">
        <v>2018</v>
      </c>
      <c r="C1687">
        <v>1</v>
      </c>
      <c r="D1687" t="s">
        <v>175</v>
      </c>
      <c r="E1687" t="s">
        <v>349</v>
      </c>
      <c r="F1687" t="s">
        <v>6</v>
      </c>
      <c r="G1687" t="s">
        <v>37</v>
      </c>
      <c r="H1687" s="4">
        <v>16</v>
      </c>
      <c r="I1687" t="str">
        <f t="shared" si="26"/>
        <v>Symphurus plagusiaTongue fish</v>
      </c>
    </row>
    <row r="1688" spans="1:9" x14ac:dyDescent="0.35">
      <c r="A1688">
        <v>26</v>
      </c>
      <c r="B1688">
        <v>2018</v>
      </c>
      <c r="C1688">
        <v>1</v>
      </c>
      <c r="D1688" t="s">
        <v>175</v>
      </c>
      <c r="E1688" t="s">
        <v>349</v>
      </c>
      <c r="F1688" t="s">
        <v>6</v>
      </c>
      <c r="G1688" t="s">
        <v>37</v>
      </c>
      <c r="H1688" s="4">
        <v>16</v>
      </c>
      <c r="I1688" t="str">
        <f t="shared" si="26"/>
        <v>Symphurus plagusiaTongue fish</v>
      </c>
    </row>
    <row r="1689" spans="1:9" x14ac:dyDescent="0.35">
      <c r="A1689">
        <v>27</v>
      </c>
      <c r="B1689">
        <v>2018</v>
      </c>
      <c r="C1689">
        <v>1</v>
      </c>
      <c r="D1689" t="s">
        <v>174</v>
      </c>
      <c r="E1689" t="s">
        <v>349</v>
      </c>
      <c r="F1689" t="s">
        <v>40</v>
      </c>
      <c r="G1689" t="s">
        <v>35</v>
      </c>
      <c r="H1689" s="4">
        <v>14</v>
      </c>
      <c r="I1689" t="str">
        <f t="shared" si="26"/>
        <v>Macrodon ancylodonBangamary</v>
      </c>
    </row>
    <row r="1690" spans="1:9" x14ac:dyDescent="0.35">
      <c r="A1690">
        <v>27</v>
      </c>
      <c r="B1690">
        <v>2018</v>
      </c>
      <c r="C1690">
        <v>1</v>
      </c>
      <c r="D1690" t="s">
        <v>174</v>
      </c>
      <c r="E1690" t="s">
        <v>349</v>
      </c>
      <c r="F1690" t="s">
        <v>40</v>
      </c>
      <c r="G1690" t="s">
        <v>35</v>
      </c>
      <c r="H1690" s="4">
        <v>13</v>
      </c>
      <c r="I1690" t="str">
        <f t="shared" si="26"/>
        <v>Macrodon ancylodonBangamary</v>
      </c>
    </row>
    <row r="1691" spans="1:9" x14ac:dyDescent="0.35">
      <c r="A1691">
        <v>27</v>
      </c>
      <c r="B1691">
        <v>2018</v>
      </c>
      <c r="C1691">
        <v>1</v>
      </c>
      <c r="D1691" t="s">
        <v>174</v>
      </c>
      <c r="E1691" t="s">
        <v>349</v>
      </c>
      <c r="F1691" t="s">
        <v>40</v>
      </c>
      <c r="G1691" t="s">
        <v>35</v>
      </c>
      <c r="H1691" s="4">
        <v>11</v>
      </c>
      <c r="I1691" t="str">
        <f t="shared" si="26"/>
        <v>Macrodon ancylodonBangamary</v>
      </c>
    </row>
    <row r="1692" spans="1:9" x14ac:dyDescent="0.35">
      <c r="A1692">
        <v>27</v>
      </c>
      <c r="B1692">
        <v>2018</v>
      </c>
      <c r="C1692">
        <v>1</v>
      </c>
      <c r="D1692" t="s">
        <v>174</v>
      </c>
      <c r="E1692" t="s">
        <v>349</v>
      </c>
      <c r="F1692" t="s">
        <v>40</v>
      </c>
      <c r="G1692" t="s">
        <v>35</v>
      </c>
      <c r="H1692" s="4">
        <v>15</v>
      </c>
      <c r="I1692" t="str">
        <f t="shared" si="26"/>
        <v>Macrodon ancylodonBangamary</v>
      </c>
    </row>
    <row r="1693" spans="1:9" x14ac:dyDescent="0.35">
      <c r="A1693">
        <v>27</v>
      </c>
      <c r="B1693">
        <v>2018</v>
      </c>
      <c r="C1693">
        <v>1</v>
      </c>
      <c r="D1693" t="s">
        <v>174</v>
      </c>
      <c r="E1693" t="s">
        <v>349</v>
      </c>
      <c r="F1693" t="s">
        <v>40</v>
      </c>
      <c r="G1693" t="s">
        <v>35</v>
      </c>
      <c r="H1693" s="4">
        <v>11</v>
      </c>
      <c r="I1693" t="str">
        <f t="shared" si="26"/>
        <v>Macrodon ancylodonBangamary</v>
      </c>
    </row>
    <row r="1694" spans="1:9" x14ac:dyDescent="0.35">
      <c r="A1694">
        <v>27</v>
      </c>
      <c r="B1694">
        <v>2018</v>
      </c>
      <c r="C1694">
        <v>1</v>
      </c>
      <c r="D1694" t="s">
        <v>174</v>
      </c>
      <c r="E1694" t="s">
        <v>349</v>
      </c>
      <c r="F1694" t="s">
        <v>40</v>
      </c>
      <c r="G1694" t="s">
        <v>35</v>
      </c>
      <c r="H1694" s="4">
        <v>12</v>
      </c>
      <c r="I1694" t="str">
        <f t="shared" si="26"/>
        <v>Macrodon ancylodonBangamary</v>
      </c>
    </row>
    <row r="1695" spans="1:9" x14ac:dyDescent="0.35">
      <c r="A1695">
        <v>27</v>
      </c>
      <c r="B1695">
        <v>2018</v>
      </c>
      <c r="C1695">
        <v>1</v>
      </c>
      <c r="D1695" t="s">
        <v>174</v>
      </c>
      <c r="E1695" t="s">
        <v>349</v>
      </c>
      <c r="F1695" t="s">
        <v>40</v>
      </c>
      <c r="G1695" t="s">
        <v>35</v>
      </c>
      <c r="H1695" s="4">
        <v>8</v>
      </c>
      <c r="I1695" t="str">
        <f t="shared" si="26"/>
        <v>Macrodon ancylodonBangamary</v>
      </c>
    </row>
    <row r="1696" spans="1:9" x14ac:dyDescent="0.35">
      <c r="A1696">
        <v>27</v>
      </c>
      <c r="B1696">
        <v>2018</v>
      </c>
      <c r="C1696">
        <v>1</v>
      </c>
      <c r="D1696" t="s">
        <v>174</v>
      </c>
      <c r="E1696" t="s">
        <v>349</v>
      </c>
      <c r="F1696" t="s">
        <v>40</v>
      </c>
      <c r="G1696" t="s">
        <v>35</v>
      </c>
      <c r="H1696" s="4">
        <v>9</v>
      </c>
      <c r="I1696" t="str">
        <f t="shared" si="26"/>
        <v>Macrodon ancylodonBangamary</v>
      </c>
    </row>
    <row r="1697" spans="1:9" x14ac:dyDescent="0.35">
      <c r="A1697">
        <v>27</v>
      </c>
      <c r="B1697">
        <v>2018</v>
      </c>
      <c r="C1697">
        <v>1</v>
      </c>
      <c r="D1697" t="s">
        <v>174</v>
      </c>
      <c r="E1697" t="s">
        <v>349</v>
      </c>
      <c r="F1697" t="s">
        <v>40</v>
      </c>
      <c r="G1697" t="s">
        <v>35</v>
      </c>
      <c r="H1697" s="4">
        <v>9</v>
      </c>
      <c r="I1697" t="str">
        <f t="shared" si="26"/>
        <v>Macrodon ancylodonBangamary</v>
      </c>
    </row>
    <row r="1698" spans="1:9" x14ac:dyDescent="0.35">
      <c r="A1698">
        <v>27</v>
      </c>
      <c r="B1698">
        <v>2018</v>
      </c>
      <c r="C1698">
        <v>1</v>
      </c>
      <c r="D1698" t="s">
        <v>174</v>
      </c>
      <c r="E1698" t="s">
        <v>349</v>
      </c>
      <c r="F1698" t="s">
        <v>40</v>
      </c>
      <c r="G1698" t="s">
        <v>35</v>
      </c>
      <c r="H1698" s="4">
        <v>13</v>
      </c>
      <c r="I1698" t="str">
        <f t="shared" si="26"/>
        <v>Macrodon ancylodonBangamary</v>
      </c>
    </row>
    <row r="1699" spans="1:9" x14ac:dyDescent="0.35">
      <c r="A1699">
        <v>27</v>
      </c>
      <c r="B1699">
        <v>2018</v>
      </c>
      <c r="C1699">
        <v>1</v>
      </c>
      <c r="D1699" t="s">
        <v>174</v>
      </c>
      <c r="E1699" t="s">
        <v>349</v>
      </c>
      <c r="F1699" t="s">
        <v>40</v>
      </c>
      <c r="G1699" t="s">
        <v>35</v>
      </c>
      <c r="H1699" s="4">
        <v>11</v>
      </c>
      <c r="I1699" t="str">
        <f t="shared" si="26"/>
        <v>Macrodon ancylodonBangamary</v>
      </c>
    </row>
    <row r="1700" spans="1:9" x14ac:dyDescent="0.35">
      <c r="A1700">
        <v>27</v>
      </c>
      <c r="B1700">
        <v>2018</v>
      </c>
      <c r="C1700">
        <v>1</v>
      </c>
      <c r="D1700" t="s">
        <v>174</v>
      </c>
      <c r="E1700" t="s">
        <v>349</v>
      </c>
      <c r="F1700" t="s">
        <v>40</v>
      </c>
      <c r="G1700" t="s">
        <v>35</v>
      </c>
      <c r="H1700" s="4">
        <v>12</v>
      </c>
      <c r="I1700" t="str">
        <f t="shared" si="26"/>
        <v>Macrodon ancylodonBangamary</v>
      </c>
    </row>
    <row r="1701" spans="1:9" x14ac:dyDescent="0.35">
      <c r="A1701">
        <v>27</v>
      </c>
      <c r="B1701">
        <v>2018</v>
      </c>
      <c r="C1701">
        <v>1</v>
      </c>
      <c r="D1701" t="s">
        <v>174</v>
      </c>
      <c r="E1701" t="s">
        <v>349</v>
      </c>
      <c r="F1701" t="s">
        <v>40</v>
      </c>
      <c r="G1701" t="s">
        <v>35</v>
      </c>
      <c r="H1701" s="4">
        <v>8</v>
      </c>
      <c r="I1701" t="str">
        <f t="shared" si="26"/>
        <v>Macrodon ancylodonBangamary</v>
      </c>
    </row>
    <row r="1702" spans="1:9" x14ac:dyDescent="0.35">
      <c r="A1702">
        <v>27</v>
      </c>
      <c r="B1702">
        <v>2018</v>
      </c>
      <c r="C1702">
        <v>1</v>
      </c>
      <c r="D1702" t="s">
        <v>174</v>
      </c>
      <c r="E1702" t="s">
        <v>349</v>
      </c>
      <c r="F1702" t="s">
        <v>40</v>
      </c>
      <c r="G1702" t="s">
        <v>35</v>
      </c>
      <c r="H1702" s="4">
        <v>5</v>
      </c>
      <c r="I1702" t="str">
        <f t="shared" si="26"/>
        <v>Macrodon ancylodonBangamary</v>
      </c>
    </row>
    <row r="1703" spans="1:9" x14ac:dyDescent="0.35">
      <c r="A1703">
        <v>27</v>
      </c>
      <c r="B1703">
        <v>2018</v>
      </c>
      <c r="C1703">
        <v>1</v>
      </c>
      <c r="D1703" t="s">
        <v>174</v>
      </c>
      <c r="E1703" t="s">
        <v>349</v>
      </c>
      <c r="F1703" t="s">
        <v>40</v>
      </c>
      <c r="G1703" t="s">
        <v>35</v>
      </c>
      <c r="H1703" s="4">
        <v>6</v>
      </c>
      <c r="I1703" t="str">
        <f t="shared" si="26"/>
        <v>Macrodon ancylodonBangamary</v>
      </c>
    </row>
    <row r="1704" spans="1:9" x14ac:dyDescent="0.35">
      <c r="A1704">
        <v>27</v>
      </c>
      <c r="B1704">
        <v>2018</v>
      </c>
      <c r="C1704">
        <v>1</v>
      </c>
      <c r="D1704" t="s">
        <v>174</v>
      </c>
      <c r="E1704" t="s">
        <v>349</v>
      </c>
      <c r="F1704" t="s">
        <v>40</v>
      </c>
      <c r="G1704" t="s">
        <v>35</v>
      </c>
      <c r="H1704" s="4">
        <v>5</v>
      </c>
      <c r="I1704" t="str">
        <f t="shared" si="26"/>
        <v>Macrodon ancylodonBangamary</v>
      </c>
    </row>
    <row r="1705" spans="1:9" x14ac:dyDescent="0.35">
      <c r="A1705">
        <v>27</v>
      </c>
      <c r="B1705">
        <v>2018</v>
      </c>
      <c r="C1705">
        <v>1</v>
      </c>
      <c r="D1705" t="s">
        <v>174</v>
      </c>
      <c r="E1705" t="s">
        <v>349</v>
      </c>
      <c r="F1705" t="s">
        <v>40</v>
      </c>
      <c r="G1705" t="s">
        <v>35</v>
      </c>
      <c r="H1705" s="4">
        <v>6</v>
      </c>
      <c r="I1705" t="str">
        <f t="shared" si="26"/>
        <v>Macrodon ancylodonBangamary</v>
      </c>
    </row>
    <row r="1706" spans="1:9" x14ac:dyDescent="0.35">
      <c r="A1706">
        <v>27</v>
      </c>
      <c r="B1706">
        <v>2018</v>
      </c>
      <c r="C1706">
        <v>1</v>
      </c>
      <c r="D1706" t="s">
        <v>174</v>
      </c>
      <c r="E1706" t="s">
        <v>349</v>
      </c>
      <c r="F1706" t="s">
        <v>40</v>
      </c>
      <c r="G1706" t="s">
        <v>35</v>
      </c>
      <c r="H1706" s="4">
        <v>8</v>
      </c>
      <c r="I1706" t="str">
        <f t="shared" si="26"/>
        <v>Macrodon ancylodonBangamary</v>
      </c>
    </row>
    <row r="1707" spans="1:9" x14ac:dyDescent="0.35">
      <c r="A1707">
        <v>27</v>
      </c>
      <c r="B1707">
        <v>2018</v>
      </c>
      <c r="C1707">
        <v>1</v>
      </c>
      <c r="D1707" t="s">
        <v>174</v>
      </c>
      <c r="E1707" t="s">
        <v>349</v>
      </c>
      <c r="F1707" t="s">
        <v>40</v>
      </c>
      <c r="G1707" t="s">
        <v>35</v>
      </c>
      <c r="H1707" s="4">
        <v>4</v>
      </c>
      <c r="I1707" t="str">
        <f t="shared" si="26"/>
        <v>Macrodon ancylodonBangamary</v>
      </c>
    </row>
    <row r="1708" spans="1:9" x14ac:dyDescent="0.35">
      <c r="A1708">
        <v>27</v>
      </c>
      <c r="B1708">
        <v>2018</v>
      </c>
      <c r="C1708">
        <v>1</v>
      </c>
      <c r="D1708" t="s">
        <v>174</v>
      </c>
      <c r="E1708" t="s">
        <v>349</v>
      </c>
      <c r="F1708" t="s">
        <v>40</v>
      </c>
      <c r="G1708" t="s">
        <v>35</v>
      </c>
      <c r="H1708" s="4">
        <v>5</v>
      </c>
      <c r="I1708" t="str">
        <f t="shared" si="26"/>
        <v>Macrodon ancylodonBangamary</v>
      </c>
    </row>
    <row r="1709" spans="1:9" x14ac:dyDescent="0.35">
      <c r="A1709">
        <v>27</v>
      </c>
      <c r="B1709">
        <v>2018</v>
      </c>
      <c r="C1709">
        <v>1</v>
      </c>
      <c r="D1709" t="s">
        <v>174</v>
      </c>
      <c r="E1709" t="s">
        <v>349</v>
      </c>
      <c r="F1709" t="s">
        <v>40</v>
      </c>
      <c r="G1709" t="s">
        <v>35</v>
      </c>
      <c r="H1709" s="4">
        <v>7</v>
      </c>
      <c r="I1709" t="str">
        <f t="shared" si="26"/>
        <v>Macrodon ancylodonBangamary</v>
      </c>
    </row>
    <row r="1710" spans="1:9" x14ac:dyDescent="0.35">
      <c r="A1710">
        <v>27</v>
      </c>
      <c r="B1710">
        <v>2018</v>
      </c>
      <c r="C1710">
        <v>1</v>
      </c>
      <c r="D1710" t="s">
        <v>174</v>
      </c>
      <c r="E1710" t="s">
        <v>349</v>
      </c>
      <c r="F1710" t="s">
        <v>40</v>
      </c>
      <c r="G1710" t="s">
        <v>35</v>
      </c>
      <c r="H1710" s="4">
        <v>6</v>
      </c>
      <c r="I1710" t="str">
        <f t="shared" si="26"/>
        <v>Macrodon ancylodonBangamary</v>
      </c>
    </row>
    <row r="1711" spans="1:9" x14ac:dyDescent="0.35">
      <c r="A1711">
        <v>27</v>
      </c>
      <c r="B1711">
        <v>2018</v>
      </c>
      <c r="C1711">
        <v>1</v>
      </c>
      <c r="D1711" t="s">
        <v>174</v>
      </c>
      <c r="E1711" t="s">
        <v>349</v>
      </c>
      <c r="F1711" t="s">
        <v>40</v>
      </c>
      <c r="G1711" t="s">
        <v>35</v>
      </c>
      <c r="H1711" s="4">
        <v>6</v>
      </c>
      <c r="I1711" t="str">
        <f t="shared" si="26"/>
        <v>Macrodon ancylodonBangamary</v>
      </c>
    </row>
    <row r="1712" spans="1:9" x14ac:dyDescent="0.35">
      <c r="A1712">
        <v>27</v>
      </c>
      <c r="B1712">
        <v>2018</v>
      </c>
      <c r="C1712">
        <v>1</v>
      </c>
      <c r="D1712" t="s">
        <v>174</v>
      </c>
      <c r="E1712" t="s">
        <v>349</v>
      </c>
      <c r="F1712" t="s">
        <v>40</v>
      </c>
      <c r="G1712" t="s">
        <v>35</v>
      </c>
      <c r="H1712" s="4">
        <v>6</v>
      </c>
      <c r="I1712" t="str">
        <f t="shared" si="26"/>
        <v>Macrodon ancylodonBangamary</v>
      </c>
    </row>
    <row r="1713" spans="1:9" x14ac:dyDescent="0.35">
      <c r="A1713">
        <v>27</v>
      </c>
      <c r="B1713">
        <v>2018</v>
      </c>
      <c r="C1713">
        <v>1</v>
      </c>
      <c r="D1713" t="s">
        <v>174</v>
      </c>
      <c r="E1713" t="s">
        <v>349</v>
      </c>
      <c r="F1713" t="s">
        <v>40</v>
      </c>
      <c r="G1713" t="s">
        <v>35</v>
      </c>
      <c r="H1713" s="4">
        <v>6</v>
      </c>
      <c r="I1713" t="str">
        <f t="shared" si="26"/>
        <v>Macrodon ancylodonBangamary</v>
      </c>
    </row>
    <row r="1714" spans="1:9" x14ac:dyDescent="0.35">
      <c r="A1714">
        <v>27</v>
      </c>
      <c r="B1714">
        <v>2018</v>
      </c>
      <c r="C1714">
        <v>1</v>
      </c>
      <c r="D1714" t="s">
        <v>174</v>
      </c>
      <c r="E1714" t="s">
        <v>349</v>
      </c>
      <c r="F1714" t="s">
        <v>40</v>
      </c>
      <c r="G1714" t="s">
        <v>35</v>
      </c>
      <c r="H1714" s="4">
        <v>5</v>
      </c>
      <c r="I1714" t="str">
        <f t="shared" si="26"/>
        <v>Macrodon ancylodonBangamary</v>
      </c>
    </row>
    <row r="1715" spans="1:9" x14ac:dyDescent="0.35">
      <c r="A1715">
        <v>27</v>
      </c>
      <c r="B1715">
        <v>2018</v>
      </c>
      <c r="C1715">
        <v>1</v>
      </c>
      <c r="D1715" t="s">
        <v>174</v>
      </c>
      <c r="E1715" t="s">
        <v>349</v>
      </c>
      <c r="F1715" t="s">
        <v>40</v>
      </c>
      <c r="G1715" t="s">
        <v>35</v>
      </c>
      <c r="H1715" s="4">
        <v>5</v>
      </c>
      <c r="I1715" t="str">
        <f t="shared" si="26"/>
        <v>Macrodon ancylodonBangamary</v>
      </c>
    </row>
    <row r="1716" spans="1:9" x14ac:dyDescent="0.35">
      <c r="A1716">
        <v>27</v>
      </c>
      <c r="B1716">
        <v>2018</v>
      </c>
      <c r="C1716">
        <v>1</v>
      </c>
      <c r="D1716" t="s">
        <v>174</v>
      </c>
      <c r="E1716" t="s">
        <v>349</v>
      </c>
      <c r="F1716" t="s">
        <v>40</v>
      </c>
      <c r="G1716" t="s">
        <v>35</v>
      </c>
      <c r="H1716" s="4">
        <v>6</v>
      </c>
      <c r="I1716" t="str">
        <f t="shared" si="26"/>
        <v>Macrodon ancylodonBangamary</v>
      </c>
    </row>
    <row r="1717" spans="1:9" x14ac:dyDescent="0.35">
      <c r="A1717">
        <v>28</v>
      </c>
      <c r="B1717">
        <v>2018</v>
      </c>
      <c r="C1717">
        <v>2</v>
      </c>
      <c r="D1717" t="s">
        <v>175</v>
      </c>
      <c r="E1717" t="s">
        <v>349</v>
      </c>
      <c r="F1717" t="s">
        <v>6</v>
      </c>
      <c r="G1717" t="s">
        <v>37</v>
      </c>
      <c r="H1717" s="4">
        <v>16</v>
      </c>
      <c r="I1717" t="str">
        <f t="shared" si="26"/>
        <v>Symphurus plagusiaTongue fish</v>
      </c>
    </row>
    <row r="1718" spans="1:9" x14ac:dyDescent="0.35">
      <c r="A1718">
        <v>28</v>
      </c>
      <c r="B1718">
        <v>2018</v>
      </c>
      <c r="C1718">
        <v>2</v>
      </c>
      <c r="D1718" t="s">
        <v>175</v>
      </c>
      <c r="E1718" t="s">
        <v>349</v>
      </c>
      <c r="F1718" t="s">
        <v>6</v>
      </c>
      <c r="G1718" t="s">
        <v>37</v>
      </c>
      <c r="H1718" s="4">
        <v>14</v>
      </c>
      <c r="I1718" t="str">
        <f t="shared" si="26"/>
        <v>Symphurus plagusiaTongue fish</v>
      </c>
    </row>
    <row r="1719" spans="1:9" x14ac:dyDescent="0.35">
      <c r="A1719">
        <v>28</v>
      </c>
      <c r="B1719">
        <v>2018</v>
      </c>
      <c r="C1719">
        <v>2</v>
      </c>
      <c r="D1719" t="s">
        <v>175</v>
      </c>
      <c r="E1719" t="s">
        <v>349</v>
      </c>
      <c r="F1719" t="s">
        <v>6</v>
      </c>
      <c r="G1719" t="s">
        <v>37</v>
      </c>
      <c r="H1719" s="4">
        <v>17</v>
      </c>
      <c r="I1719" t="str">
        <f t="shared" si="26"/>
        <v>Symphurus plagusiaTongue fish</v>
      </c>
    </row>
    <row r="1720" spans="1:9" x14ac:dyDescent="0.35">
      <c r="A1720">
        <v>28</v>
      </c>
      <c r="B1720">
        <v>2018</v>
      </c>
      <c r="C1720">
        <v>2</v>
      </c>
      <c r="D1720" t="s">
        <v>175</v>
      </c>
      <c r="E1720" t="s">
        <v>349</v>
      </c>
      <c r="F1720" t="s">
        <v>6</v>
      </c>
      <c r="G1720" t="s">
        <v>37</v>
      </c>
      <c r="H1720" s="4">
        <v>16</v>
      </c>
      <c r="I1720" t="str">
        <f t="shared" si="26"/>
        <v>Symphurus plagusiaTongue fish</v>
      </c>
    </row>
    <row r="1721" spans="1:9" x14ac:dyDescent="0.35">
      <c r="A1721">
        <v>28</v>
      </c>
      <c r="B1721">
        <v>2018</v>
      </c>
      <c r="C1721">
        <v>2</v>
      </c>
      <c r="D1721" t="s">
        <v>175</v>
      </c>
      <c r="E1721" t="s">
        <v>349</v>
      </c>
      <c r="F1721" t="s">
        <v>6</v>
      </c>
      <c r="G1721" t="s">
        <v>37</v>
      </c>
      <c r="H1721" s="4">
        <v>15</v>
      </c>
      <c r="I1721" t="str">
        <f t="shared" si="26"/>
        <v>Symphurus plagusiaTongue fish</v>
      </c>
    </row>
    <row r="1722" spans="1:9" x14ac:dyDescent="0.35">
      <c r="A1722">
        <v>28</v>
      </c>
      <c r="B1722">
        <v>2018</v>
      </c>
      <c r="C1722">
        <v>2</v>
      </c>
      <c r="D1722" t="s">
        <v>175</v>
      </c>
      <c r="E1722" t="s">
        <v>349</v>
      </c>
      <c r="F1722" t="s">
        <v>6</v>
      </c>
      <c r="G1722" t="s">
        <v>37</v>
      </c>
      <c r="H1722" s="4">
        <v>16</v>
      </c>
      <c r="I1722" t="str">
        <f t="shared" si="26"/>
        <v>Symphurus plagusiaTongue fish</v>
      </c>
    </row>
    <row r="1723" spans="1:9" x14ac:dyDescent="0.35">
      <c r="A1723">
        <v>28</v>
      </c>
      <c r="B1723">
        <v>2018</v>
      </c>
      <c r="C1723">
        <v>2</v>
      </c>
      <c r="D1723" t="s">
        <v>175</v>
      </c>
      <c r="E1723" t="s">
        <v>349</v>
      </c>
      <c r="F1723" t="s">
        <v>6</v>
      </c>
      <c r="G1723" t="s">
        <v>37</v>
      </c>
      <c r="H1723" s="4">
        <v>15</v>
      </c>
      <c r="I1723" t="str">
        <f t="shared" si="26"/>
        <v>Symphurus plagusiaTongue fish</v>
      </c>
    </row>
    <row r="1724" spans="1:9" x14ac:dyDescent="0.35">
      <c r="A1724">
        <v>28</v>
      </c>
      <c r="B1724">
        <v>2018</v>
      </c>
      <c r="C1724">
        <v>2</v>
      </c>
      <c r="D1724" t="s">
        <v>175</v>
      </c>
      <c r="E1724" t="s">
        <v>349</v>
      </c>
      <c r="F1724" t="s">
        <v>6</v>
      </c>
      <c r="G1724" t="s">
        <v>37</v>
      </c>
      <c r="H1724" s="4">
        <v>16</v>
      </c>
      <c r="I1724" t="str">
        <f t="shared" si="26"/>
        <v>Symphurus plagusiaTongue fish</v>
      </c>
    </row>
    <row r="1725" spans="1:9" x14ac:dyDescent="0.35">
      <c r="A1725">
        <v>28</v>
      </c>
      <c r="B1725">
        <v>2018</v>
      </c>
      <c r="C1725">
        <v>2</v>
      </c>
      <c r="D1725" t="s">
        <v>175</v>
      </c>
      <c r="E1725" t="s">
        <v>349</v>
      </c>
      <c r="F1725" t="s">
        <v>6</v>
      </c>
      <c r="G1725" t="s">
        <v>37</v>
      </c>
      <c r="H1725" s="4">
        <v>17</v>
      </c>
      <c r="I1725" t="str">
        <f t="shared" si="26"/>
        <v>Symphurus plagusiaTongue fish</v>
      </c>
    </row>
    <row r="1726" spans="1:9" x14ac:dyDescent="0.35">
      <c r="A1726">
        <v>28</v>
      </c>
      <c r="B1726">
        <v>2018</v>
      </c>
      <c r="C1726">
        <v>2</v>
      </c>
      <c r="D1726" t="s">
        <v>175</v>
      </c>
      <c r="E1726" t="s">
        <v>349</v>
      </c>
      <c r="F1726" t="s">
        <v>6</v>
      </c>
      <c r="G1726" t="s">
        <v>37</v>
      </c>
      <c r="H1726" s="4">
        <v>15</v>
      </c>
      <c r="I1726" t="str">
        <f t="shared" si="26"/>
        <v>Symphurus plagusiaTongue fish</v>
      </c>
    </row>
    <row r="1727" spans="1:9" x14ac:dyDescent="0.35">
      <c r="A1727">
        <v>28</v>
      </c>
      <c r="B1727">
        <v>2018</v>
      </c>
      <c r="C1727">
        <v>2</v>
      </c>
      <c r="D1727" t="s">
        <v>175</v>
      </c>
      <c r="E1727" t="s">
        <v>349</v>
      </c>
      <c r="F1727" t="s">
        <v>6</v>
      </c>
      <c r="G1727" t="s">
        <v>37</v>
      </c>
      <c r="H1727" s="4">
        <v>13</v>
      </c>
      <c r="I1727" t="str">
        <f t="shared" si="26"/>
        <v>Symphurus plagusiaTongue fish</v>
      </c>
    </row>
    <row r="1728" spans="1:9" x14ac:dyDescent="0.35">
      <c r="A1728">
        <v>28</v>
      </c>
      <c r="B1728">
        <v>2018</v>
      </c>
      <c r="C1728">
        <v>2</v>
      </c>
      <c r="D1728" t="s">
        <v>175</v>
      </c>
      <c r="E1728" t="s">
        <v>349</v>
      </c>
      <c r="F1728" t="s">
        <v>6</v>
      </c>
      <c r="G1728" t="s">
        <v>37</v>
      </c>
      <c r="H1728" s="4">
        <v>16</v>
      </c>
      <c r="I1728" t="str">
        <f t="shared" si="26"/>
        <v>Symphurus plagusiaTongue fish</v>
      </c>
    </row>
    <row r="1729" spans="1:9" x14ac:dyDescent="0.35">
      <c r="A1729">
        <v>28</v>
      </c>
      <c r="B1729">
        <v>2018</v>
      </c>
      <c r="C1729">
        <v>2</v>
      </c>
      <c r="D1729" t="s">
        <v>175</v>
      </c>
      <c r="E1729" t="s">
        <v>349</v>
      </c>
      <c r="F1729" t="s">
        <v>6</v>
      </c>
      <c r="G1729" t="s">
        <v>37</v>
      </c>
      <c r="H1729" s="4">
        <v>14</v>
      </c>
      <c r="I1729" t="str">
        <f t="shared" si="26"/>
        <v>Symphurus plagusiaTongue fish</v>
      </c>
    </row>
    <row r="1730" spans="1:9" x14ac:dyDescent="0.35">
      <c r="A1730">
        <v>28</v>
      </c>
      <c r="B1730">
        <v>2018</v>
      </c>
      <c r="C1730">
        <v>2</v>
      </c>
      <c r="D1730" t="s">
        <v>175</v>
      </c>
      <c r="E1730" t="s">
        <v>349</v>
      </c>
      <c r="F1730" t="s">
        <v>6</v>
      </c>
      <c r="G1730" t="s">
        <v>37</v>
      </c>
      <c r="H1730" s="4">
        <v>16</v>
      </c>
      <c r="I1730" t="str">
        <f t="shared" ref="I1730:I1793" si="27">CONCATENATE(F1730,G1730)</f>
        <v>Symphurus plagusiaTongue fish</v>
      </c>
    </row>
    <row r="1731" spans="1:9" x14ac:dyDescent="0.35">
      <c r="A1731">
        <v>28</v>
      </c>
      <c r="B1731">
        <v>2018</v>
      </c>
      <c r="C1731">
        <v>2</v>
      </c>
      <c r="D1731" t="s">
        <v>175</v>
      </c>
      <c r="E1731" t="s">
        <v>349</v>
      </c>
      <c r="F1731" t="s">
        <v>6</v>
      </c>
      <c r="G1731" t="s">
        <v>37</v>
      </c>
      <c r="H1731" s="4">
        <v>16</v>
      </c>
      <c r="I1731" t="str">
        <f t="shared" si="27"/>
        <v>Symphurus plagusiaTongue fish</v>
      </c>
    </row>
    <row r="1732" spans="1:9" x14ac:dyDescent="0.35">
      <c r="A1732">
        <v>28</v>
      </c>
      <c r="B1732">
        <v>2018</v>
      </c>
      <c r="C1732">
        <v>2</v>
      </c>
      <c r="D1732" t="s">
        <v>175</v>
      </c>
      <c r="E1732" t="s">
        <v>349</v>
      </c>
      <c r="F1732" t="s">
        <v>6</v>
      </c>
      <c r="G1732" t="s">
        <v>37</v>
      </c>
      <c r="H1732" s="4">
        <v>16</v>
      </c>
      <c r="I1732" t="str">
        <f t="shared" si="27"/>
        <v>Symphurus plagusiaTongue fish</v>
      </c>
    </row>
    <row r="1733" spans="1:9" x14ac:dyDescent="0.35">
      <c r="A1733">
        <v>28</v>
      </c>
      <c r="B1733">
        <v>2018</v>
      </c>
      <c r="C1733">
        <v>2</v>
      </c>
      <c r="D1733" t="s">
        <v>175</v>
      </c>
      <c r="E1733" t="s">
        <v>349</v>
      </c>
      <c r="F1733" t="s">
        <v>6</v>
      </c>
      <c r="G1733" t="s">
        <v>37</v>
      </c>
      <c r="H1733" s="4">
        <v>16</v>
      </c>
      <c r="I1733" t="str">
        <f t="shared" si="27"/>
        <v>Symphurus plagusiaTongue fish</v>
      </c>
    </row>
    <row r="1734" spans="1:9" x14ac:dyDescent="0.35">
      <c r="A1734">
        <v>28</v>
      </c>
      <c r="B1734">
        <v>2018</v>
      </c>
      <c r="C1734">
        <v>2</v>
      </c>
      <c r="D1734" t="s">
        <v>175</v>
      </c>
      <c r="E1734" t="s">
        <v>349</v>
      </c>
      <c r="F1734" t="s">
        <v>6</v>
      </c>
      <c r="G1734" t="s">
        <v>37</v>
      </c>
      <c r="H1734" s="4">
        <v>14</v>
      </c>
      <c r="I1734" t="str">
        <f t="shared" si="27"/>
        <v>Symphurus plagusiaTongue fish</v>
      </c>
    </row>
    <row r="1735" spans="1:9" x14ac:dyDescent="0.35">
      <c r="A1735">
        <v>28</v>
      </c>
      <c r="B1735">
        <v>2018</v>
      </c>
      <c r="C1735">
        <v>2</v>
      </c>
      <c r="D1735" t="s">
        <v>175</v>
      </c>
      <c r="E1735" t="s">
        <v>349</v>
      </c>
      <c r="F1735" t="s">
        <v>6</v>
      </c>
      <c r="G1735" t="s">
        <v>37</v>
      </c>
      <c r="H1735" s="4">
        <v>16</v>
      </c>
      <c r="I1735" t="str">
        <f t="shared" si="27"/>
        <v>Symphurus plagusiaTongue fish</v>
      </c>
    </row>
    <row r="1736" spans="1:9" x14ac:dyDescent="0.35">
      <c r="A1736">
        <v>28</v>
      </c>
      <c r="B1736">
        <v>2018</v>
      </c>
      <c r="C1736">
        <v>2</v>
      </c>
      <c r="D1736" t="s">
        <v>175</v>
      </c>
      <c r="E1736" t="s">
        <v>349</v>
      </c>
      <c r="F1736" t="s">
        <v>6</v>
      </c>
      <c r="G1736" t="s">
        <v>37</v>
      </c>
      <c r="H1736" s="4">
        <v>16</v>
      </c>
      <c r="I1736" t="str">
        <f t="shared" si="27"/>
        <v>Symphurus plagusiaTongue fish</v>
      </c>
    </row>
    <row r="1737" spans="1:9" x14ac:dyDescent="0.35">
      <c r="A1737">
        <v>28</v>
      </c>
      <c r="B1737">
        <v>2018</v>
      </c>
      <c r="C1737">
        <v>2</v>
      </c>
      <c r="D1737" t="s">
        <v>175</v>
      </c>
      <c r="E1737" t="s">
        <v>349</v>
      </c>
      <c r="F1737" t="s">
        <v>6</v>
      </c>
      <c r="G1737" t="s">
        <v>37</v>
      </c>
      <c r="H1737" s="4">
        <v>16</v>
      </c>
      <c r="I1737" t="str">
        <f t="shared" si="27"/>
        <v>Symphurus plagusiaTongue fish</v>
      </c>
    </row>
    <row r="1738" spans="1:9" x14ac:dyDescent="0.35">
      <c r="A1738">
        <v>28</v>
      </c>
      <c r="B1738">
        <v>2018</v>
      </c>
      <c r="C1738">
        <v>2</v>
      </c>
      <c r="D1738" t="s">
        <v>175</v>
      </c>
      <c r="E1738" t="s">
        <v>349</v>
      </c>
      <c r="F1738" t="s">
        <v>6</v>
      </c>
      <c r="G1738" t="s">
        <v>37</v>
      </c>
      <c r="H1738" s="4">
        <v>17</v>
      </c>
      <c r="I1738" t="str">
        <f t="shared" si="27"/>
        <v>Symphurus plagusiaTongue fish</v>
      </c>
    </row>
    <row r="1739" spans="1:9" x14ac:dyDescent="0.35">
      <c r="A1739">
        <v>28</v>
      </c>
      <c r="B1739">
        <v>2018</v>
      </c>
      <c r="C1739">
        <v>2</v>
      </c>
      <c r="D1739" t="s">
        <v>175</v>
      </c>
      <c r="E1739" t="s">
        <v>349</v>
      </c>
      <c r="F1739" t="s">
        <v>6</v>
      </c>
      <c r="G1739" t="s">
        <v>37</v>
      </c>
      <c r="H1739" s="4">
        <v>16</v>
      </c>
      <c r="I1739" t="str">
        <f t="shared" si="27"/>
        <v>Symphurus plagusiaTongue fish</v>
      </c>
    </row>
    <row r="1740" spans="1:9" x14ac:dyDescent="0.35">
      <c r="A1740">
        <v>28</v>
      </c>
      <c r="B1740">
        <v>2018</v>
      </c>
      <c r="C1740">
        <v>2</v>
      </c>
      <c r="D1740" t="s">
        <v>175</v>
      </c>
      <c r="E1740" t="s">
        <v>349</v>
      </c>
      <c r="F1740" t="s">
        <v>6</v>
      </c>
      <c r="G1740" t="s">
        <v>37</v>
      </c>
      <c r="H1740" s="4">
        <v>16</v>
      </c>
      <c r="I1740" t="str">
        <f t="shared" si="27"/>
        <v>Symphurus plagusiaTongue fish</v>
      </c>
    </row>
    <row r="1741" spans="1:9" x14ac:dyDescent="0.35">
      <c r="A1741">
        <v>28</v>
      </c>
      <c r="B1741">
        <v>2018</v>
      </c>
      <c r="C1741">
        <v>2</v>
      </c>
      <c r="D1741" t="s">
        <v>175</v>
      </c>
      <c r="E1741" t="s">
        <v>349</v>
      </c>
      <c r="F1741" t="s">
        <v>6</v>
      </c>
      <c r="G1741" t="s">
        <v>37</v>
      </c>
      <c r="H1741" s="4">
        <v>14</v>
      </c>
      <c r="I1741" t="str">
        <f t="shared" si="27"/>
        <v>Symphurus plagusiaTongue fish</v>
      </c>
    </row>
    <row r="1742" spans="1:9" x14ac:dyDescent="0.35">
      <c r="A1742">
        <v>28</v>
      </c>
      <c r="B1742">
        <v>2018</v>
      </c>
      <c r="C1742">
        <v>2</v>
      </c>
      <c r="D1742" t="s">
        <v>175</v>
      </c>
      <c r="E1742" t="s">
        <v>349</v>
      </c>
      <c r="F1742" t="s">
        <v>6</v>
      </c>
      <c r="G1742" t="s">
        <v>37</v>
      </c>
      <c r="H1742" s="4">
        <v>14</v>
      </c>
      <c r="I1742" t="str">
        <f t="shared" si="27"/>
        <v>Symphurus plagusiaTongue fish</v>
      </c>
    </row>
    <row r="1743" spans="1:9" x14ac:dyDescent="0.35">
      <c r="A1743">
        <v>28</v>
      </c>
      <c r="B1743">
        <v>2018</v>
      </c>
      <c r="C1743">
        <v>2</v>
      </c>
      <c r="D1743" t="s">
        <v>175</v>
      </c>
      <c r="E1743" t="s">
        <v>349</v>
      </c>
      <c r="F1743" t="s">
        <v>6</v>
      </c>
      <c r="G1743" t="s">
        <v>37</v>
      </c>
      <c r="H1743" s="4">
        <v>16</v>
      </c>
      <c r="I1743" t="str">
        <f t="shared" si="27"/>
        <v>Symphurus plagusiaTongue fish</v>
      </c>
    </row>
    <row r="1744" spans="1:9" x14ac:dyDescent="0.35">
      <c r="A1744">
        <v>28</v>
      </c>
      <c r="B1744">
        <v>2018</v>
      </c>
      <c r="C1744">
        <v>2</v>
      </c>
      <c r="D1744" t="s">
        <v>175</v>
      </c>
      <c r="E1744" t="s">
        <v>349</v>
      </c>
      <c r="F1744" t="s">
        <v>6</v>
      </c>
      <c r="G1744" t="s">
        <v>37</v>
      </c>
      <c r="H1744" s="4">
        <v>16</v>
      </c>
      <c r="I1744" t="str">
        <f t="shared" si="27"/>
        <v>Symphurus plagusiaTongue fish</v>
      </c>
    </row>
    <row r="1745" spans="1:9" x14ac:dyDescent="0.35">
      <c r="A1745">
        <v>29</v>
      </c>
      <c r="B1745">
        <v>2018</v>
      </c>
      <c r="C1745">
        <v>2</v>
      </c>
      <c r="D1745" t="s">
        <v>173</v>
      </c>
      <c r="E1745" t="s">
        <v>349</v>
      </c>
      <c r="F1745" t="s">
        <v>43</v>
      </c>
      <c r="G1745" t="s">
        <v>57</v>
      </c>
      <c r="H1745" s="4">
        <v>19</v>
      </c>
      <c r="I1745" t="str">
        <f t="shared" si="27"/>
        <v>Cynoscion virescensSeatrout</v>
      </c>
    </row>
    <row r="1746" spans="1:9" x14ac:dyDescent="0.35">
      <c r="A1746">
        <v>29</v>
      </c>
      <c r="B1746">
        <v>2018</v>
      </c>
      <c r="C1746">
        <v>2</v>
      </c>
      <c r="D1746" t="s">
        <v>173</v>
      </c>
      <c r="E1746" t="s">
        <v>349</v>
      </c>
      <c r="F1746" t="s">
        <v>43</v>
      </c>
      <c r="G1746" t="s">
        <v>57</v>
      </c>
      <c r="H1746" s="4">
        <v>8</v>
      </c>
      <c r="I1746" t="str">
        <f t="shared" si="27"/>
        <v>Cynoscion virescensSeatrout</v>
      </c>
    </row>
    <row r="1747" spans="1:9" x14ac:dyDescent="0.35">
      <c r="A1747">
        <v>29</v>
      </c>
      <c r="B1747">
        <v>2018</v>
      </c>
      <c r="C1747">
        <v>2</v>
      </c>
      <c r="D1747" t="s">
        <v>173</v>
      </c>
      <c r="E1747" t="s">
        <v>349</v>
      </c>
      <c r="F1747" t="s">
        <v>43</v>
      </c>
      <c r="G1747" t="s">
        <v>57</v>
      </c>
      <c r="H1747" s="4">
        <v>16</v>
      </c>
      <c r="I1747" t="str">
        <f t="shared" si="27"/>
        <v>Cynoscion virescensSeatrout</v>
      </c>
    </row>
    <row r="1748" spans="1:9" x14ac:dyDescent="0.35">
      <c r="A1748">
        <v>29</v>
      </c>
      <c r="B1748">
        <v>2018</v>
      </c>
      <c r="C1748">
        <v>2</v>
      </c>
      <c r="D1748" t="s">
        <v>173</v>
      </c>
      <c r="E1748" t="s">
        <v>349</v>
      </c>
      <c r="F1748" t="s">
        <v>43</v>
      </c>
      <c r="G1748" t="s">
        <v>57</v>
      </c>
      <c r="H1748" s="4">
        <v>19</v>
      </c>
      <c r="I1748" t="str">
        <f t="shared" si="27"/>
        <v>Cynoscion virescensSeatrout</v>
      </c>
    </row>
    <row r="1749" spans="1:9" x14ac:dyDescent="0.35">
      <c r="A1749">
        <v>29</v>
      </c>
      <c r="B1749">
        <v>2018</v>
      </c>
      <c r="C1749">
        <v>2</v>
      </c>
      <c r="D1749" t="s">
        <v>173</v>
      </c>
      <c r="E1749" t="s">
        <v>349</v>
      </c>
      <c r="F1749" t="s">
        <v>43</v>
      </c>
      <c r="G1749" t="s">
        <v>57</v>
      </c>
      <c r="H1749" s="4">
        <v>17</v>
      </c>
      <c r="I1749" t="str">
        <f t="shared" si="27"/>
        <v>Cynoscion virescensSeatrout</v>
      </c>
    </row>
    <row r="1750" spans="1:9" x14ac:dyDescent="0.35">
      <c r="A1750">
        <v>29</v>
      </c>
      <c r="B1750">
        <v>2018</v>
      </c>
      <c r="C1750">
        <v>2</v>
      </c>
      <c r="D1750" t="s">
        <v>173</v>
      </c>
      <c r="E1750" t="s">
        <v>349</v>
      </c>
      <c r="F1750" t="s">
        <v>43</v>
      </c>
      <c r="G1750" t="s">
        <v>57</v>
      </c>
      <c r="H1750" s="4">
        <v>14</v>
      </c>
      <c r="I1750" t="str">
        <f t="shared" si="27"/>
        <v>Cynoscion virescensSeatrout</v>
      </c>
    </row>
    <row r="1751" spans="1:9" x14ac:dyDescent="0.35">
      <c r="A1751">
        <v>29</v>
      </c>
      <c r="B1751">
        <v>2018</v>
      </c>
      <c r="C1751">
        <v>2</v>
      </c>
      <c r="D1751" t="s">
        <v>173</v>
      </c>
      <c r="E1751" t="s">
        <v>349</v>
      </c>
      <c r="F1751" t="s">
        <v>43</v>
      </c>
      <c r="G1751" t="s">
        <v>57</v>
      </c>
      <c r="H1751" s="4">
        <v>14</v>
      </c>
      <c r="I1751" t="str">
        <f t="shared" si="27"/>
        <v>Cynoscion virescensSeatrout</v>
      </c>
    </row>
    <row r="1752" spans="1:9" x14ac:dyDescent="0.35">
      <c r="A1752">
        <v>29</v>
      </c>
      <c r="B1752">
        <v>2018</v>
      </c>
      <c r="C1752">
        <v>2</v>
      </c>
      <c r="D1752" t="s">
        <v>173</v>
      </c>
      <c r="E1752" t="s">
        <v>349</v>
      </c>
      <c r="F1752" t="s">
        <v>43</v>
      </c>
      <c r="G1752" t="s">
        <v>57</v>
      </c>
      <c r="H1752" s="4">
        <v>21</v>
      </c>
      <c r="I1752" t="str">
        <f t="shared" si="27"/>
        <v>Cynoscion virescensSeatrout</v>
      </c>
    </row>
    <row r="1753" spans="1:9" x14ac:dyDescent="0.35">
      <c r="A1753">
        <v>29</v>
      </c>
      <c r="B1753">
        <v>2018</v>
      </c>
      <c r="C1753">
        <v>2</v>
      </c>
      <c r="D1753" t="s">
        <v>173</v>
      </c>
      <c r="E1753" t="s">
        <v>349</v>
      </c>
      <c r="F1753" t="s">
        <v>43</v>
      </c>
      <c r="G1753" t="s">
        <v>57</v>
      </c>
      <c r="H1753" s="4">
        <v>22</v>
      </c>
      <c r="I1753" t="str">
        <f t="shared" si="27"/>
        <v>Cynoscion virescensSeatrout</v>
      </c>
    </row>
    <row r="1754" spans="1:9" x14ac:dyDescent="0.35">
      <c r="A1754">
        <v>29</v>
      </c>
      <c r="B1754">
        <v>2018</v>
      </c>
      <c r="C1754">
        <v>2</v>
      </c>
      <c r="D1754" t="s">
        <v>173</v>
      </c>
      <c r="E1754" t="s">
        <v>349</v>
      </c>
      <c r="F1754" t="s">
        <v>43</v>
      </c>
      <c r="G1754" t="s">
        <v>57</v>
      </c>
      <c r="H1754" s="4">
        <v>22</v>
      </c>
      <c r="I1754" t="str">
        <f t="shared" si="27"/>
        <v>Cynoscion virescensSeatrout</v>
      </c>
    </row>
    <row r="1755" spans="1:9" x14ac:dyDescent="0.35">
      <c r="A1755">
        <v>29</v>
      </c>
      <c r="B1755">
        <v>2018</v>
      </c>
      <c r="C1755">
        <v>2</v>
      </c>
      <c r="D1755" t="s">
        <v>173</v>
      </c>
      <c r="E1755" t="s">
        <v>349</v>
      </c>
      <c r="F1755" t="s">
        <v>43</v>
      </c>
      <c r="G1755" t="s">
        <v>57</v>
      </c>
      <c r="H1755" s="4">
        <v>15</v>
      </c>
      <c r="I1755" t="str">
        <f t="shared" si="27"/>
        <v>Cynoscion virescensSeatrout</v>
      </c>
    </row>
    <row r="1756" spans="1:9" x14ac:dyDescent="0.35">
      <c r="A1756">
        <v>29</v>
      </c>
      <c r="B1756">
        <v>2018</v>
      </c>
      <c r="C1756">
        <v>2</v>
      </c>
      <c r="D1756" t="s">
        <v>173</v>
      </c>
      <c r="E1756" t="s">
        <v>349</v>
      </c>
      <c r="F1756" t="s">
        <v>43</v>
      </c>
      <c r="G1756" t="s">
        <v>57</v>
      </c>
      <c r="H1756" s="4">
        <v>24</v>
      </c>
      <c r="I1756" t="str">
        <f t="shared" si="27"/>
        <v>Cynoscion virescensSeatrout</v>
      </c>
    </row>
    <row r="1757" spans="1:9" x14ac:dyDescent="0.35">
      <c r="A1757">
        <v>29</v>
      </c>
      <c r="B1757">
        <v>2018</v>
      </c>
      <c r="C1757">
        <v>2</v>
      </c>
      <c r="D1757" t="s">
        <v>173</v>
      </c>
      <c r="E1757" t="s">
        <v>349</v>
      </c>
      <c r="F1757" t="s">
        <v>43</v>
      </c>
      <c r="G1757" t="s">
        <v>57</v>
      </c>
      <c r="H1757" s="4">
        <v>21</v>
      </c>
      <c r="I1757" t="str">
        <f t="shared" si="27"/>
        <v>Cynoscion virescensSeatrout</v>
      </c>
    </row>
    <row r="1758" spans="1:9" x14ac:dyDescent="0.35">
      <c r="A1758">
        <v>29</v>
      </c>
      <c r="B1758">
        <v>2018</v>
      </c>
      <c r="C1758">
        <v>2</v>
      </c>
      <c r="D1758" t="s">
        <v>173</v>
      </c>
      <c r="E1758" t="s">
        <v>349</v>
      </c>
      <c r="F1758" t="s">
        <v>43</v>
      </c>
      <c r="G1758" t="s">
        <v>57</v>
      </c>
      <c r="H1758" s="4">
        <v>21</v>
      </c>
      <c r="I1758" t="str">
        <f t="shared" si="27"/>
        <v>Cynoscion virescensSeatrout</v>
      </c>
    </row>
    <row r="1759" spans="1:9" x14ac:dyDescent="0.35">
      <c r="A1759">
        <v>29</v>
      </c>
      <c r="B1759">
        <v>2018</v>
      </c>
      <c r="C1759">
        <v>2</v>
      </c>
      <c r="D1759" t="s">
        <v>173</v>
      </c>
      <c r="E1759" t="s">
        <v>349</v>
      </c>
      <c r="F1759" t="s">
        <v>43</v>
      </c>
      <c r="G1759" t="s">
        <v>57</v>
      </c>
      <c r="H1759" s="4">
        <v>22</v>
      </c>
      <c r="I1759" t="str">
        <f t="shared" si="27"/>
        <v>Cynoscion virescensSeatrout</v>
      </c>
    </row>
    <row r="1760" spans="1:9" x14ac:dyDescent="0.35">
      <c r="A1760">
        <v>29</v>
      </c>
      <c r="B1760">
        <v>2018</v>
      </c>
      <c r="C1760">
        <v>2</v>
      </c>
      <c r="D1760" t="s">
        <v>173</v>
      </c>
      <c r="E1760" t="s">
        <v>349</v>
      </c>
      <c r="F1760" t="s">
        <v>43</v>
      </c>
      <c r="G1760" t="s">
        <v>57</v>
      </c>
      <c r="H1760" s="4">
        <v>11</v>
      </c>
      <c r="I1760" t="str">
        <f t="shared" si="27"/>
        <v>Cynoscion virescensSeatrout</v>
      </c>
    </row>
    <row r="1761" spans="1:9" x14ac:dyDescent="0.35">
      <c r="A1761">
        <v>29</v>
      </c>
      <c r="B1761">
        <v>2018</v>
      </c>
      <c r="C1761">
        <v>2</v>
      </c>
      <c r="D1761" t="s">
        <v>173</v>
      </c>
      <c r="E1761" t="s">
        <v>349</v>
      </c>
      <c r="F1761" t="s">
        <v>43</v>
      </c>
      <c r="G1761" t="s">
        <v>57</v>
      </c>
      <c r="H1761" s="4">
        <v>16</v>
      </c>
      <c r="I1761" t="str">
        <f t="shared" si="27"/>
        <v>Cynoscion virescensSeatrout</v>
      </c>
    </row>
    <row r="1762" spans="1:9" x14ac:dyDescent="0.35">
      <c r="A1762">
        <v>29</v>
      </c>
      <c r="B1762">
        <v>2018</v>
      </c>
      <c r="C1762">
        <v>2</v>
      </c>
      <c r="D1762" t="s">
        <v>173</v>
      </c>
      <c r="E1762" t="s">
        <v>349</v>
      </c>
      <c r="F1762" t="s">
        <v>43</v>
      </c>
      <c r="G1762" t="s">
        <v>57</v>
      </c>
      <c r="H1762" s="4">
        <v>17</v>
      </c>
      <c r="I1762" t="str">
        <f t="shared" si="27"/>
        <v>Cynoscion virescensSeatrout</v>
      </c>
    </row>
    <row r="1763" spans="1:9" x14ac:dyDescent="0.35">
      <c r="A1763">
        <v>29</v>
      </c>
      <c r="B1763">
        <v>2018</v>
      </c>
      <c r="C1763">
        <v>2</v>
      </c>
      <c r="D1763" t="s">
        <v>173</v>
      </c>
      <c r="E1763" t="s">
        <v>349</v>
      </c>
      <c r="F1763" t="s">
        <v>43</v>
      </c>
      <c r="G1763" t="s">
        <v>57</v>
      </c>
      <c r="H1763" s="4">
        <v>18</v>
      </c>
      <c r="I1763" t="str">
        <f t="shared" si="27"/>
        <v>Cynoscion virescensSeatrout</v>
      </c>
    </row>
    <row r="1764" spans="1:9" x14ac:dyDescent="0.35">
      <c r="A1764">
        <v>29</v>
      </c>
      <c r="B1764">
        <v>2018</v>
      </c>
      <c r="C1764">
        <v>2</v>
      </c>
      <c r="D1764" t="s">
        <v>173</v>
      </c>
      <c r="E1764" t="s">
        <v>349</v>
      </c>
      <c r="F1764" t="s">
        <v>43</v>
      </c>
      <c r="G1764" t="s">
        <v>57</v>
      </c>
      <c r="H1764" s="4">
        <v>23</v>
      </c>
      <c r="I1764" t="str">
        <f t="shared" si="27"/>
        <v>Cynoscion virescensSeatrout</v>
      </c>
    </row>
    <row r="1765" spans="1:9" x14ac:dyDescent="0.35">
      <c r="A1765">
        <v>29</v>
      </c>
      <c r="B1765">
        <v>2018</v>
      </c>
      <c r="C1765">
        <v>2</v>
      </c>
      <c r="D1765" t="s">
        <v>173</v>
      </c>
      <c r="E1765" t="s">
        <v>349</v>
      </c>
      <c r="F1765" t="s">
        <v>43</v>
      </c>
      <c r="G1765" t="s">
        <v>57</v>
      </c>
      <c r="H1765" s="4">
        <v>23</v>
      </c>
      <c r="I1765" t="str">
        <f t="shared" si="27"/>
        <v>Cynoscion virescensSeatrout</v>
      </c>
    </row>
    <row r="1766" spans="1:9" x14ac:dyDescent="0.35">
      <c r="A1766">
        <v>29</v>
      </c>
      <c r="B1766">
        <v>2018</v>
      </c>
      <c r="C1766">
        <v>2</v>
      </c>
      <c r="D1766" t="s">
        <v>173</v>
      </c>
      <c r="E1766" t="s">
        <v>349</v>
      </c>
      <c r="F1766" t="s">
        <v>43</v>
      </c>
      <c r="G1766" t="s">
        <v>57</v>
      </c>
      <c r="H1766" s="4">
        <v>15</v>
      </c>
      <c r="I1766" t="str">
        <f t="shared" si="27"/>
        <v>Cynoscion virescensSeatrout</v>
      </c>
    </row>
    <row r="1767" spans="1:9" x14ac:dyDescent="0.35">
      <c r="A1767">
        <v>29</v>
      </c>
      <c r="B1767">
        <v>2018</v>
      </c>
      <c r="C1767">
        <v>2</v>
      </c>
      <c r="D1767" t="s">
        <v>173</v>
      </c>
      <c r="E1767" t="s">
        <v>349</v>
      </c>
      <c r="F1767" t="s">
        <v>43</v>
      </c>
      <c r="G1767" t="s">
        <v>57</v>
      </c>
      <c r="H1767" s="4">
        <v>22</v>
      </c>
      <c r="I1767" t="str">
        <f t="shared" si="27"/>
        <v>Cynoscion virescensSeatrout</v>
      </c>
    </row>
    <row r="1768" spans="1:9" x14ac:dyDescent="0.35">
      <c r="A1768">
        <v>29</v>
      </c>
      <c r="B1768">
        <v>2018</v>
      </c>
      <c r="C1768">
        <v>2</v>
      </c>
      <c r="D1768" t="s">
        <v>173</v>
      </c>
      <c r="E1768" t="s">
        <v>349</v>
      </c>
      <c r="F1768" t="s">
        <v>43</v>
      </c>
      <c r="G1768" t="s">
        <v>57</v>
      </c>
      <c r="H1768" s="4">
        <v>17</v>
      </c>
      <c r="I1768" t="str">
        <f t="shared" si="27"/>
        <v>Cynoscion virescensSeatrout</v>
      </c>
    </row>
    <row r="1769" spans="1:9" x14ac:dyDescent="0.35">
      <c r="A1769">
        <v>29</v>
      </c>
      <c r="B1769">
        <v>2018</v>
      </c>
      <c r="C1769">
        <v>2</v>
      </c>
      <c r="D1769" t="s">
        <v>173</v>
      </c>
      <c r="E1769" t="s">
        <v>349</v>
      </c>
      <c r="F1769" t="s">
        <v>43</v>
      </c>
      <c r="G1769" t="s">
        <v>57</v>
      </c>
      <c r="H1769" s="4">
        <v>15</v>
      </c>
      <c r="I1769" t="str">
        <f t="shared" si="27"/>
        <v>Cynoscion virescensSeatrout</v>
      </c>
    </row>
    <row r="1770" spans="1:9" x14ac:dyDescent="0.35">
      <c r="A1770">
        <v>29</v>
      </c>
      <c r="B1770">
        <v>2018</v>
      </c>
      <c r="C1770">
        <v>2</v>
      </c>
      <c r="D1770" t="s">
        <v>173</v>
      </c>
      <c r="E1770" t="s">
        <v>349</v>
      </c>
      <c r="F1770" t="s">
        <v>43</v>
      </c>
      <c r="G1770" t="s">
        <v>57</v>
      </c>
      <c r="H1770" s="4">
        <v>18</v>
      </c>
      <c r="I1770" t="str">
        <f t="shared" si="27"/>
        <v>Cynoscion virescensSeatrout</v>
      </c>
    </row>
    <row r="1771" spans="1:9" x14ac:dyDescent="0.35">
      <c r="A1771">
        <v>29</v>
      </c>
      <c r="B1771">
        <v>2018</v>
      </c>
      <c r="C1771">
        <v>2</v>
      </c>
      <c r="D1771" t="s">
        <v>173</v>
      </c>
      <c r="E1771" t="s">
        <v>349</v>
      </c>
      <c r="F1771" t="s">
        <v>43</v>
      </c>
      <c r="G1771" t="s">
        <v>57</v>
      </c>
      <c r="H1771" s="4">
        <v>11</v>
      </c>
      <c r="I1771" t="str">
        <f t="shared" si="27"/>
        <v>Cynoscion virescensSeatrout</v>
      </c>
    </row>
    <row r="1772" spans="1:9" x14ac:dyDescent="0.35">
      <c r="A1772">
        <v>29</v>
      </c>
      <c r="B1772">
        <v>2018</v>
      </c>
      <c r="C1772">
        <v>2</v>
      </c>
      <c r="D1772" t="s">
        <v>173</v>
      </c>
      <c r="E1772" t="s">
        <v>349</v>
      </c>
      <c r="F1772" t="s">
        <v>43</v>
      </c>
      <c r="G1772" t="s">
        <v>57</v>
      </c>
      <c r="H1772" s="4">
        <v>13</v>
      </c>
      <c r="I1772" t="str">
        <f t="shared" si="27"/>
        <v>Cynoscion virescensSeatrout</v>
      </c>
    </row>
    <row r="1773" spans="1:9" x14ac:dyDescent="0.35">
      <c r="A1773">
        <v>29</v>
      </c>
      <c r="B1773">
        <v>2018</v>
      </c>
      <c r="C1773">
        <v>2</v>
      </c>
      <c r="D1773" t="s">
        <v>173</v>
      </c>
      <c r="E1773" t="s">
        <v>349</v>
      </c>
      <c r="F1773" t="s">
        <v>43</v>
      </c>
      <c r="G1773" t="s">
        <v>57</v>
      </c>
      <c r="H1773" s="4">
        <v>15</v>
      </c>
      <c r="I1773" t="str">
        <f t="shared" si="27"/>
        <v>Cynoscion virescensSeatrout</v>
      </c>
    </row>
    <row r="1774" spans="1:9" x14ac:dyDescent="0.35">
      <c r="A1774">
        <v>29</v>
      </c>
      <c r="B1774">
        <v>2018</v>
      </c>
      <c r="C1774">
        <v>2</v>
      </c>
      <c r="D1774" t="s">
        <v>173</v>
      </c>
      <c r="E1774" t="s">
        <v>349</v>
      </c>
      <c r="F1774" t="s">
        <v>43</v>
      </c>
      <c r="G1774" t="s">
        <v>57</v>
      </c>
      <c r="H1774" s="4">
        <v>24</v>
      </c>
      <c r="I1774" t="str">
        <f t="shared" si="27"/>
        <v>Cynoscion virescensSeatrout</v>
      </c>
    </row>
    <row r="1775" spans="1:9" x14ac:dyDescent="0.35">
      <c r="A1775">
        <v>29</v>
      </c>
      <c r="B1775">
        <v>2018</v>
      </c>
      <c r="C1775">
        <v>2</v>
      </c>
      <c r="D1775" t="s">
        <v>173</v>
      </c>
      <c r="E1775" t="s">
        <v>349</v>
      </c>
      <c r="F1775" t="s">
        <v>43</v>
      </c>
      <c r="G1775" t="s">
        <v>57</v>
      </c>
      <c r="H1775" s="4">
        <v>20</v>
      </c>
      <c r="I1775" t="str">
        <f t="shared" si="27"/>
        <v>Cynoscion virescensSeatrout</v>
      </c>
    </row>
    <row r="1776" spans="1:9" x14ac:dyDescent="0.35">
      <c r="A1776">
        <v>29</v>
      </c>
      <c r="B1776">
        <v>2018</v>
      </c>
      <c r="C1776">
        <v>2</v>
      </c>
      <c r="D1776" t="s">
        <v>173</v>
      </c>
      <c r="E1776" t="s">
        <v>349</v>
      </c>
      <c r="F1776" t="s">
        <v>6</v>
      </c>
      <c r="G1776" t="s">
        <v>37</v>
      </c>
      <c r="H1776" s="4">
        <v>16</v>
      </c>
      <c r="I1776" t="str">
        <f t="shared" si="27"/>
        <v>Symphurus plagusiaTongue fish</v>
      </c>
    </row>
    <row r="1777" spans="1:9" x14ac:dyDescent="0.35">
      <c r="A1777">
        <v>29</v>
      </c>
      <c r="B1777">
        <v>2018</v>
      </c>
      <c r="C1777">
        <v>2</v>
      </c>
      <c r="D1777" t="s">
        <v>173</v>
      </c>
      <c r="E1777" t="s">
        <v>349</v>
      </c>
      <c r="F1777" t="s">
        <v>6</v>
      </c>
      <c r="G1777" t="s">
        <v>37</v>
      </c>
      <c r="H1777" s="4">
        <v>16</v>
      </c>
      <c r="I1777" t="str">
        <f t="shared" si="27"/>
        <v>Symphurus plagusiaTongue fish</v>
      </c>
    </row>
    <row r="1778" spans="1:9" x14ac:dyDescent="0.35">
      <c r="A1778">
        <v>29</v>
      </c>
      <c r="B1778">
        <v>2018</v>
      </c>
      <c r="C1778">
        <v>2</v>
      </c>
      <c r="D1778" t="s">
        <v>173</v>
      </c>
      <c r="E1778" t="s">
        <v>349</v>
      </c>
      <c r="F1778" t="s">
        <v>6</v>
      </c>
      <c r="G1778" t="s">
        <v>37</v>
      </c>
      <c r="H1778" s="4">
        <v>14</v>
      </c>
      <c r="I1778" t="str">
        <f t="shared" si="27"/>
        <v>Symphurus plagusiaTongue fish</v>
      </c>
    </row>
    <row r="1779" spans="1:9" x14ac:dyDescent="0.35">
      <c r="A1779">
        <v>29</v>
      </c>
      <c r="B1779">
        <v>2018</v>
      </c>
      <c r="C1779">
        <v>2</v>
      </c>
      <c r="D1779" t="s">
        <v>173</v>
      </c>
      <c r="E1779" t="s">
        <v>349</v>
      </c>
      <c r="F1779" t="s">
        <v>6</v>
      </c>
      <c r="G1779" t="s">
        <v>37</v>
      </c>
      <c r="H1779" s="4">
        <v>14</v>
      </c>
      <c r="I1779" t="str">
        <f t="shared" si="27"/>
        <v>Symphurus plagusiaTongue fish</v>
      </c>
    </row>
    <row r="1780" spans="1:9" x14ac:dyDescent="0.35">
      <c r="A1780">
        <v>29</v>
      </c>
      <c r="B1780">
        <v>2018</v>
      </c>
      <c r="C1780">
        <v>2</v>
      </c>
      <c r="D1780" t="s">
        <v>173</v>
      </c>
      <c r="E1780" t="s">
        <v>349</v>
      </c>
      <c r="F1780" t="s">
        <v>6</v>
      </c>
      <c r="G1780" t="s">
        <v>37</v>
      </c>
      <c r="H1780" s="4">
        <v>17</v>
      </c>
      <c r="I1780" t="str">
        <f t="shared" si="27"/>
        <v>Symphurus plagusiaTongue fish</v>
      </c>
    </row>
    <row r="1781" spans="1:9" x14ac:dyDescent="0.35">
      <c r="A1781">
        <v>29</v>
      </c>
      <c r="B1781">
        <v>2018</v>
      </c>
      <c r="C1781">
        <v>2</v>
      </c>
      <c r="D1781" t="s">
        <v>173</v>
      </c>
      <c r="E1781" t="s">
        <v>349</v>
      </c>
      <c r="F1781" t="s">
        <v>6</v>
      </c>
      <c r="G1781" t="s">
        <v>37</v>
      </c>
      <c r="H1781" s="4">
        <v>12</v>
      </c>
      <c r="I1781" t="str">
        <f t="shared" si="27"/>
        <v>Symphurus plagusiaTongue fish</v>
      </c>
    </row>
    <row r="1782" spans="1:9" x14ac:dyDescent="0.35">
      <c r="A1782">
        <v>29</v>
      </c>
      <c r="B1782">
        <v>2018</v>
      </c>
      <c r="C1782">
        <v>2</v>
      </c>
      <c r="D1782" t="s">
        <v>173</v>
      </c>
      <c r="E1782" t="s">
        <v>349</v>
      </c>
      <c r="F1782" t="s">
        <v>6</v>
      </c>
      <c r="G1782" t="s">
        <v>37</v>
      </c>
      <c r="H1782" s="4">
        <v>14</v>
      </c>
      <c r="I1782" t="str">
        <f t="shared" si="27"/>
        <v>Symphurus plagusiaTongue fish</v>
      </c>
    </row>
    <row r="1783" spans="1:9" x14ac:dyDescent="0.35">
      <c r="A1783">
        <v>29</v>
      </c>
      <c r="B1783">
        <v>2018</v>
      </c>
      <c r="C1783">
        <v>2</v>
      </c>
      <c r="D1783" t="s">
        <v>173</v>
      </c>
      <c r="E1783" t="s">
        <v>349</v>
      </c>
      <c r="F1783" t="s">
        <v>6</v>
      </c>
      <c r="G1783" t="s">
        <v>37</v>
      </c>
      <c r="H1783" s="4">
        <v>15</v>
      </c>
      <c r="I1783" t="str">
        <f t="shared" si="27"/>
        <v>Symphurus plagusiaTongue fish</v>
      </c>
    </row>
    <row r="1784" spans="1:9" x14ac:dyDescent="0.35">
      <c r="A1784">
        <v>29</v>
      </c>
      <c r="B1784">
        <v>2018</v>
      </c>
      <c r="C1784">
        <v>2</v>
      </c>
      <c r="D1784" t="s">
        <v>173</v>
      </c>
      <c r="E1784" t="s">
        <v>349</v>
      </c>
      <c r="F1784" t="s">
        <v>6</v>
      </c>
      <c r="G1784" t="s">
        <v>37</v>
      </c>
      <c r="H1784" s="4">
        <v>15</v>
      </c>
      <c r="I1784" t="str">
        <f t="shared" si="27"/>
        <v>Symphurus plagusiaTongue fish</v>
      </c>
    </row>
    <row r="1785" spans="1:9" x14ac:dyDescent="0.35">
      <c r="A1785">
        <v>29</v>
      </c>
      <c r="B1785">
        <v>2018</v>
      </c>
      <c r="C1785">
        <v>2</v>
      </c>
      <c r="D1785" t="s">
        <v>173</v>
      </c>
      <c r="E1785" t="s">
        <v>349</v>
      </c>
      <c r="F1785" t="s">
        <v>6</v>
      </c>
      <c r="G1785" t="s">
        <v>37</v>
      </c>
      <c r="H1785" s="4">
        <v>15</v>
      </c>
      <c r="I1785" t="str">
        <f t="shared" si="27"/>
        <v>Symphurus plagusiaTongue fish</v>
      </c>
    </row>
    <row r="1786" spans="1:9" x14ac:dyDescent="0.35">
      <c r="A1786">
        <v>29</v>
      </c>
      <c r="B1786">
        <v>2018</v>
      </c>
      <c r="C1786">
        <v>2</v>
      </c>
      <c r="D1786" t="s">
        <v>173</v>
      </c>
      <c r="E1786" t="s">
        <v>349</v>
      </c>
      <c r="F1786" t="s">
        <v>6</v>
      </c>
      <c r="G1786" t="s">
        <v>37</v>
      </c>
      <c r="H1786" s="4">
        <v>9</v>
      </c>
      <c r="I1786" t="str">
        <f t="shared" si="27"/>
        <v>Symphurus plagusiaTongue fish</v>
      </c>
    </row>
    <row r="1787" spans="1:9" x14ac:dyDescent="0.35">
      <c r="A1787">
        <v>29</v>
      </c>
      <c r="B1787">
        <v>2018</v>
      </c>
      <c r="C1787">
        <v>2</v>
      </c>
      <c r="D1787" t="s">
        <v>173</v>
      </c>
      <c r="E1787" t="s">
        <v>349</v>
      </c>
      <c r="F1787" t="s">
        <v>6</v>
      </c>
      <c r="G1787" t="s">
        <v>37</v>
      </c>
      <c r="H1787" s="4">
        <v>16</v>
      </c>
      <c r="I1787" t="str">
        <f t="shared" si="27"/>
        <v>Symphurus plagusiaTongue fish</v>
      </c>
    </row>
    <row r="1788" spans="1:9" x14ac:dyDescent="0.35">
      <c r="A1788">
        <v>29</v>
      </c>
      <c r="B1788">
        <v>2018</v>
      </c>
      <c r="C1788">
        <v>2</v>
      </c>
      <c r="D1788" t="s">
        <v>173</v>
      </c>
      <c r="E1788" t="s">
        <v>349</v>
      </c>
      <c r="F1788" t="s">
        <v>6</v>
      </c>
      <c r="G1788" t="s">
        <v>37</v>
      </c>
      <c r="H1788" s="4">
        <v>14</v>
      </c>
      <c r="I1788" t="str">
        <f t="shared" si="27"/>
        <v>Symphurus plagusiaTongue fish</v>
      </c>
    </row>
    <row r="1789" spans="1:9" x14ac:dyDescent="0.35">
      <c r="A1789">
        <v>29</v>
      </c>
      <c r="B1789">
        <v>2018</v>
      </c>
      <c r="C1789">
        <v>2</v>
      </c>
      <c r="D1789" t="s">
        <v>173</v>
      </c>
      <c r="E1789" t="s">
        <v>349</v>
      </c>
      <c r="F1789" t="s">
        <v>6</v>
      </c>
      <c r="G1789" t="s">
        <v>37</v>
      </c>
      <c r="H1789" s="4">
        <v>15</v>
      </c>
      <c r="I1789" t="str">
        <f t="shared" si="27"/>
        <v>Symphurus plagusiaTongue fish</v>
      </c>
    </row>
    <row r="1790" spans="1:9" x14ac:dyDescent="0.35">
      <c r="A1790">
        <v>29</v>
      </c>
      <c r="B1790">
        <v>2018</v>
      </c>
      <c r="C1790">
        <v>2</v>
      </c>
      <c r="D1790" t="s">
        <v>173</v>
      </c>
      <c r="E1790" t="s">
        <v>349</v>
      </c>
      <c r="F1790" t="s">
        <v>6</v>
      </c>
      <c r="G1790" t="s">
        <v>37</v>
      </c>
      <c r="H1790" s="4">
        <v>15</v>
      </c>
      <c r="I1790" t="str">
        <f t="shared" si="27"/>
        <v>Symphurus plagusiaTongue fish</v>
      </c>
    </row>
    <row r="1791" spans="1:9" x14ac:dyDescent="0.35">
      <c r="A1791">
        <v>29</v>
      </c>
      <c r="B1791">
        <v>2018</v>
      </c>
      <c r="C1791">
        <v>2</v>
      </c>
      <c r="D1791" t="s">
        <v>173</v>
      </c>
      <c r="E1791" t="s">
        <v>349</v>
      </c>
      <c r="F1791" t="s">
        <v>6</v>
      </c>
      <c r="G1791" t="s">
        <v>37</v>
      </c>
      <c r="H1791" s="4">
        <v>12</v>
      </c>
      <c r="I1791" t="str">
        <f t="shared" si="27"/>
        <v>Symphurus plagusiaTongue fish</v>
      </c>
    </row>
    <row r="1792" spans="1:9" x14ac:dyDescent="0.35">
      <c r="A1792">
        <v>29</v>
      </c>
      <c r="B1792">
        <v>2018</v>
      </c>
      <c r="C1792">
        <v>2</v>
      </c>
      <c r="D1792" t="s">
        <v>173</v>
      </c>
      <c r="E1792" t="s">
        <v>349</v>
      </c>
      <c r="F1792" t="s">
        <v>6</v>
      </c>
      <c r="G1792" t="s">
        <v>37</v>
      </c>
      <c r="H1792" s="4">
        <v>9</v>
      </c>
      <c r="I1792" t="str">
        <f t="shared" si="27"/>
        <v>Symphurus plagusiaTongue fish</v>
      </c>
    </row>
    <row r="1793" spans="1:9" x14ac:dyDescent="0.35">
      <c r="A1793">
        <v>29</v>
      </c>
      <c r="B1793">
        <v>2018</v>
      </c>
      <c r="C1793">
        <v>2</v>
      </c>
      <c r="D1793" t="s">
        <v>173</v>
      </c>
      <c r="E1793" t="s">
        <v>349</v>
      </c>
      <c r="F1793" t="s">
        <v>6</v>
      </c>
      <c r="G1793" t="s">
        <v>37</v>
      </c>
      <c r="H1793" s="4">
        <v>14</v>
      </c>
      <c r="I1793" t="str">
        <f t="shared" si="27"/>
        <v>Symphurus plagusiaTongue fish</v>
      </c>
    </row>
    <row r="1794" spans="1:9" x14ac:dyDescent="0.35">
      <c r="A1794">
        <v>29</v>
      </c>
      <c r="B1794">
        <v>2018</v>
      </c>
      <c r="C1794">
        <v>2</v>
      </c>
      <c r="D1794" t="s">
        <v>173</v>
      </c>
      <c r="E1794" t="s">
        <v>349</v>
      </c>
      <c r="F1794" t="s">
        <v>6</v>
      </c>
      <c r="G1794" t="s">
        <v>37</v>
      </c>
      <c r="H1794" s="4">
        <v>16</v>
      </c>
      <c r="I1794" t="str">
        <f t="shared" ref="I1794:I1857" si="28">CONCATENATE(F1794,G1794)</f>
        <v>Symphurus plagusiaTongue fish</v>
      </c>
    </row>
    <row r="1795" spans="1:9" x14ac:dyDescent="0.35">
      <c r="A1795">
        <v>29</v>
      </c>
      <c r="B1795">
        <v>2018</v>
      </c>
      <c r="C1795">
        <v>2</v>
      </c>
      <c r="D1795" t="s">
        <v>173</v>
      </c>
      <c r="E1795" t="s">
        <v>349</v>
      </c>
      <c r="F1795" t="s">
        <v>6</v>
      </c>
      <c r="G1795" t="s">
        <v>37</v>
      </c>
      <c r="H1795" s="4">
        <v>12</v>
      </c>
      <c r="I1795" t="str">
        <f t="shared" si="28"/>
        <v>Symphurus plagusiaTongue fish</v>
      </c>
    </row>
    <row r="1796" spans="1:9" x14ac:dyDescent="0.35">
      <c r="A1796">
        <v>29</v>
      </c>
      <c r="B1796">
        <v>2018</v>
      </c>
      <c r="C1796">
        <v>2</v>
      </c>
      <c r="D1796" t="s">
        <v>173</v>
      </c>
      <c r="E1796" t="s">
        <v>349</v>
      </c>
      <c r="F1796" t="s">
        <v>6</v>
      </c>
      <c r="G1796" t="s">
        <v>37</v>
      </c>
      <c r="H1796" s="4">
        <v>14</v>
      </c>
      <c r="I1796" t="str">
        <f t="shared" si="28"/>
        <v>Symphurus plagusiaTongue fish</v>
      </c>
    </row>
    <row r="1797" spans="1:9" x14ac:dyDescent="0.35">
      <c r="A1797">
        <v>29</v>
      </c>
      <c r="B1797">
        <v>2018</v>
      </c>
      <c r="C1797">
        <v>2</v>
      </c>
      <c r="D1797" t="s">
        <v>173</v>
      </c>
      <c r="E1797" t="s">
        <v>349</v>
      </c>
      <c r="F1797" t="s">
        <v>6</v>
      </c>
      <c r="G1797" t="s">
        <v>37</v>
      </c>
      <c r="H1797" s="4">
        <v>14</v>
      </c>
      <c r="I1797" t="str">
        <f t="shared" si="28"/>
        <v>Symphurus plagusiaTongue fish</v>
      </c>
    </row>
    <row r="1798" spans="1:9" x14ac:dyDescent="0.35">
      <c r="A1798">
        <v>29</v>
      </c>
      <c r="B1798">
        <v>2018</v>
      </c>
      <c r="C1798">
        <v>2</v>
      </c>
      <c r="D1798" t="s">
        <v>173</v>
      </c>
      <c r="E1798" t="s">
        <v>349</v>
      </c>
      <c r="F1798" t="s">
        <v>6</v>
      </c>
      <c r="G1798" t="s">
        <v>37</v>
      </c>
      <c r="H1798" s="4">
        <v>14</v>
      </c>
      <c r="I1798" t="str">
        <f t="shared" si="28"/>
        <v>Symphurus plagusiaTongue fish</v>
      </c>
    </row>
    <row r="1799" spans="1:9" x14ac:dyDescent="0.35">
      <c r="A1799">
        <v>29</v>
      </c>
      <c r="B1799">
        <v>2018</v>
      </c>
      <c r="C1799">
        <v>2</v>
      </c>
      <c r="D1799" t="s">
        <v>173</v>
      </c>
      <c r="E1799" t="s">
        <v>349</v>
      </c>
      <c r="F1799" t="s">
        <v>6</v>
      </c>
      <c r="G1799" t="s">
        <v>37</v>
      </c>
      <c r="H1799" s="4">
        <v>13</v>
      </c>
      <c r="I1799" t="str">
        <f t="shared" si="28"/>
        <v>Symphurus plagusiaTongue fish</v>
      </c>
    </row>
    <row r="1800" spans="1:9" x14ac:dyDescent="0.35">
      <c r="A1800">
        <v>29</v>
      </c>
      <c r="B1800">
        <v>2018</v>
      </c>
      <c r="C1800">
        <v>2</v>
      </c>
      <c r="D1800" t="s">
        <v>173</v>
      </c>
      <c r="E1800" t="s">
        <v>349</v>
      </c>
      <c r="F1800" t="s">
        <v>6</v>
      </c>
      <c r="G1800" t="s">
        <v>37</v>
      </c>
      <c r="H1800" s="4">
        <v>14</v>
      </c>
      <c r="I1800" t="str">
        <f t="shared" si="28"/>
        <v>Symphurus plagusiaTongue fish</v>
      </c>
    </row>
    <row r="1801" spans="1:9" x14ac:dyDescent="0.35">
      <c r="A1801">
        <v>29</v>
      </c>
      <c r="B1801">
        <v>2018</v>
      </c>
      <c r="C1801">
        <v>2</v>
      </c>
      <c r="D1801" t="s">
        <v>173</v>
      </c>
      <c r="E1801" t="s">
        <v>349</v>
      </c>
      <c r="F1801" t="s">
        <v>6</v>
      </c>
      <c r="G1801" t="s">
        <v>37</v>
      </c>
      <c r="H1801" s="4">
        <v>15</v>
      </c>
      <c r="I1801" t="str">
        <f t="shared" si="28"/>
        <v>Symphurus plagusiaTongue fish</v>
      </c>
    </row>
    <row r="1802" spans="1:9" x14ac:dyDescent="0.35">
      <c r="A1802">
        <v>29</v>
      </c>
      <c r="B1802">
        <v>2018</v>
      </c>
      <c r="C1802">
        <v>2</v>
      </c>
      <c r="D1802" t="s">
        <v>173</v>
      </c>
      <c r="E1802" t="s">
        <v>349</v>
      </c>
      <c r="F1802" t="s">
        <v>6</v>
      </c>
      <c r="G1802" t="s">
        <v>37</v>
      </c>
      <c r="H1802" s="4">
        <v>11</v>
      </c>
      <c r="I1802" t="str">
        <f t="shared" si="28"/>
        <v>Symphurus plagusiaTongue fish</v>
      </c>
    </row>
    <row r="1803" spans="1:9" x14ac:dyDescent="0.35">
      <c r="A1803">
        <v>29</v>
      </c>
      <c r="B1803">
        <v>2018</v>
      </c>
      <c r="C1803">
        <v>2</v>
      </c>
      <c r="D1803" t="s">
        <v>173</v>
      </c>
      <c r="E1803" t="s">
        <v>349</v>
      </c>
      <c r="F1803" t="s">
        <v>6</v>
      </c>
      <c r="G1803" t="s">
        <v>37</v>
      </c>
      <c r="H1803" s="4">
        <v>13</v>
      </c>
      <c r="I1803" t="str">
        <f t="shared" si="28"/>
        <v>Symphurus plagusiaTongue fish</v>
      </c>
    </row>
    <row r="1804" spans="1:9" x14ac:dyDescent="0.35">
      <c r="A1804">
        <v>29</v>
      </c>
      <c r="B1804">
        <v>2018</v>
      </c>
      <c r="C1804">
        <v>2</v>
      </c>
      <c r="D1804" t="s">
        <v>173</v>
      </c>
      <c r="E1804" t="s">
        <v>349</v>
      </c>
      <c r="F1804" t="s">
        <v>6</v>
      </c>
      <c r="G1804" t="s">
        <v>37</v>
      </c>
      <c r="H1804" s="4">
        <v>13</v>
      </c>
      <c r="I1804" t="str">
        <f t="shared" si="28"/>
        <v>Symphurus plagusiaTongue fish</v>
      </c>
    </row>
    <row r="1805" spans="1:9" x14ac:dyDescent="0.35">
      <c r="A1805">
        <v>29</v>
      </c>
      <c r="B1805">
        <v>2018</v>
      </c>
      <c r="C1805">
        <v>2</v>
      </c>
      <c r="D1805" t="s">
        <v>173</v>
      </c>
      <c r="E1805" t="s">
        <v>349</v>
      </c>
      <c r="F1805" t="s">
        <v>6</v>
      </c>
      <c r="G1805" t="s">
        <v>37</v>
      </c>
      <c r="H1805" s="4">
        <v>14</v>
      </c>
      <c r="I1805" t="str">
        <f t="shared" si="28"/>
        <v>Symphurus plagusiaTongue fish</v>
      </c>
    </row>
    <row r="1806" spans="1:9" x14ac:dyDescent="0.35">
      <c r="A1806">
        <v>30</v>
      </c>
      <c r="B1806">
        <v>2018</v>
      </c>
      <c r="C1806">
        <v>2</v>
      </c>
      <c r="D1806" t="s">
        <v>174</v>
      </c>
      <c r="E1806" t="s">
        <v>349</v>
      </c>
      <c r="F1806" t="s">
        <v>43</v>
      </c>
      <c r="G1806" t="s">
        <v>57</v>
      </c>
      <c r="H1806" s="4">
        <v>25</v>
      </c>
      <c r="I1806" t="str">
        <f t="shared" si="28"/>
        <v>Cynoscion virescensSeatrout</v>
      </c>
    </row>
    <row r="1807" spans="1:9" x14ac:dyDescent="0.35">
      <c r="A1807">
        <v>30</v>
      </c>
      <c r="B1807">
        <v>2018</v>
      </c>
      <c r="C1807">
        <v>2</v>
      </c>
      <c r="D1807" t="s">
        <v>174</v>
      </c>
      <c r="E1807" t="s">
        <v>349</v>
      </c>
      <c r="F1807" t="s">
        <v>43</v>
      </c>
      <c r="G1807" t="s">
        <v>57</v>
      </c>
      <c r="H1807" s="4">
        <v>24</v>
      </c>
      <c r="I1807" t="str">
        <f t="shared" si="28"/>
        <v>Cynoscion virescensSeatrout</v>
      </c>
    </row>
    <row r="1808" spans="1:9" x14ac:dyDescent="0.35">
      <c r="A1808">
        <v>30</v>
      </c>
      <c r="B1808">
        <v>2018</v>
      </c>
      <c r="C1808">
        <v>2</v>
      </c>
      <c r="D1808" t="s">
        <v>174</v>
      </c>
      <c r="E1808" t="s">
        <v>349</v>
      </c>
      <c r="F1808" t="s">
        <v>43</v>
      </c>
      <c r="G1808" t="s">
        <v>57</v>
      </c>
      <c r="H1808" s="4">
        <v>20</v>
      </c>
      <c r="I1808" t="str">
        <f t="shared" si="28"/>
        <v>Cynoscion virescensSeatrout</v>
      </c>
    </row>
    <row r="1809" spans="1:9" x14ac:dyDescent="0.35">
      <c r="A1809">
        <v>30</v>
      </c>
      <c r="B1809">
        <v>2018</v>
      </c>
      <c r="C1809">
        <v>2</v>
      </c>
      <c r="D1809" t="s">
        <v>174</v>
      </c>
      <c r="E1809" t="s">
        <v>349</v>
      </c>
      <c r="F1809" t="s">
        <v>43</v>
      </c>
      <c r="G1809" t="s">
        <v>57</v>
      </c>
      <c r="H1809" s="4">
        <v>20</v>
      </c>
      <c r="I1809" t="str">
        <f t="shared" si="28"/>
        <v>Cynoscion virescensSeatrout</v>
      </c>
    </row>
    <row r="1810" spans="1:9" x14ac:dyDescent="0.35">
      <c r="A1810">
        <v>30</v>
      </c>
      <c r="B1810">
        <v>2018</v>
      </c>
      <c r="C1810">
        <v>2</v>
      </c>
      <c r="D1810" t="s">
        <v>174</v>
      </c>
      <c r="E1810" t="s">
        <v>349</v>
      </c>
      <c r="F1810" t="s">
        <v>43</v>
      </c>
      <c r="G1810" t="s">
        <v>57</v>
      </c>
      <c r="H1810" s="4">
        <v>21</v>
      </c>
      <c r="I1810" t="str">
        <f t="shared" si="28"/>
        <v>Cynoscion virescensSeatrout</v>
      </c>
    </row>
    <row r="1811" spans="1:9" x14ac:dyDescent="0.35">
      <c r="A1811">
        <v>30</v>
      </c>
      <c r="B1811">
        <v>2018</v>
      </c>
      <c r="C1811">
        <v>2</v>
      </c>
      <c r="D1811" t="s">
        <v>174</v>
      </c>
      <c r="E1811" t="s">
        <v>349</v>
      </c>
      <c r="F1811" t="s">
        <v>43</v>
      </c>
      <c r="G1811" t="s">
        <v>57</v>
      </c>
      <c r="H1811" s="4">
        <v>22</v>
      </c>
      <c r="I1811" t="str">
        <f t="shared" si="28"/>
        <v>Cynoscion virescensSeatrout</v>
      </c>
    </row>
    <row r="1812" spans="1:9" x14ac:dyDescent="0.35">
      <c r="A1812">
        <v>30</v>
      </c>
      <c r="B1812">
        <v>2018</v>
      </c>
      <c r="C1812">
        <v>2</v>
      </c>
      <c r="D1812" t="s">
        <v>174</v>
      </c>
      <c r="E1812" t="s">
        <v>349</v>
      </c>
      <c r="F1812" t="s">
        <v>43</v>
      </c>
      <c r="G1812" t="s">
        <v>57</v>
      </c>
      <c r="H1812" s="4">
        <v>24</v>
      </c>
      <c r="I1812" t="str">
        <f t="shared" si="28"/>
        <v>Cynoscion virescensSeatrout</v>
      </c>
    </row>
    <row r="1813" spans="1:9" x14ac:dyDescent="0.35">
      <c r="A1813">
        <v>30</v>
      </c>
      <c r="B1813">
        <v>2018</v>
      </c>
      <c r="C1813">
        <v>2</v>
      </c>
      <c r="D1813" t="s">
        <v>174</v>
      </c>
      <c r="E1813" t="s">
        <v>349</v>
      </c>
      <c r="F1813" t="s">
        <v>43</v>
      </c>
      <c r="G1813" t="s">
        <v>57</v>
      </c>
      <c r="H1813" s="4">
        <v>21</v>
      </c>
      <c r="I1813" t="str">
        <f t="shared" si="28"/>
        <v>Cynoscion virescensSeatrout</v>
      </c>
    </row>
    <row r="1814" spans="1:9" x14ac:dyDescent="0.35">
      <c r="A1814">
        <v>30</v>
      </c>
      <c r="B1814">
        <v>2018</v>
      </c>
      <c r="C1814">
        <v>2</v>
      </c>
      <c r="D1814" t="s">
        <v>174</v>
      </c>
      <c r="E1814" t="s">
        <v>349</v>
      </c>
      <c r="F1814" t="s">
        <v>43</v>
      </c>
      <c r="G1814" t="s">
        <v>57</v>
      </c>
      <c r="H1814" s="4">
        <v>20</v>
      </c>
      <c r="I1814" t="str">
        <f t="shared" si="28"/>
        <v>Cynoscion virescensSeatrout</v>
      </c>
    </row>
    <row r="1815" spans="1:9" x14ac:dyDescent="0.35">
      <c r="A1815">
        <v>30</v>
      </c>
      <c r="B1815">
        <v>2018</v>
      </c>
      <c r="C1815">
        <v>2</v>
      </c>
      <c r="D1815" t="s">
        <v>174</v>
      </c>
      <c r="E1815" t="s">
        <v>349</v>
      </c>
      <c r="F1815" t="s">
        <v>43</v>
      </c>
      <c r="G1815" t="s">
        <v>57</v>
      </c>
      <c r="H1815" s="4">
        <v>16</v>
      </c>
      <c r="I1815" t="str">
        <f t="shared" si="28"/>
        <v>Cynoscion virescensSeatrout</v>
      </c>
    </row>
    <row r="1816" spans="1:9" x14ac:dyDescent="0.35">
      <c r="A1816">
        <v>30</v>
      </c>
      <c r="B1816">
        <v>2018</v>
      </c>
      <c r="C1816">
        <v>2</v>
      </c>
      <c r="D1816" t="s">
        <v>174</v>
      </c>
      <c r="E1816" t="s">
        <v>349</v>
      </c>
      <c r="F1816" t="s">
        <v>43</v>
      </c>
      <c r="G1816" t="s">
        <v>57</v>
      </c>
      <c r="H1816" s="4">
        <v>20</v>
      </c>
      <c r="I1816" t="str">
        <f t="shared" si="28"/>
        <v>Cynoscion virescensSeatrout</v>
      </c>
    </row>
    <row r="1817" spans="1:9" x14ac:dyDescent="0.35">
      <c r="A1817">
        <v>30</v>
      </c>
      <c r="B1817">
        <v>2018</v>
      </c>
      <c r="C1817">
        <v>2</v>
      </c>
      <c r="D1817" t="s">
        <v>174</v>
      </c>
      <c r="E1817" t="s">
        <v>349</v>
      </c>
      <c r="F1817" t="s">
        <v>43</v>
      </c>
      <c r="G1817" t="s">
        <v>57</v>
      </c>
      <c r="H1817" s="4">
        <v>17</v>
      </c>
      <c r="I1817" t="str">
        <f t="shared" si="28"/>
        <v>Cynoscion virescensSeatrout</v>
      </c>
    </row>
    <row r="1818" spans="1:9" x14ac:dyDescent="0.35">
      <c r="A1818">
        <v>30</v>
      </c>
      <c r="B1818">
        <v>2018</v>
      </c>
      <c r="C1818">
        <v>2</v>
      </c>
      <c r="D1818" t="s">
        <v>174</v>
      </c>
      <c r="E1818" t="s">
        <v>349</v>
      </c>
      <c r="F1818" t="s">
        <v>43</v>
      </c>
      <c r="G1818" t="s">
        <v>57</v>
      </c>
      <c r="H1818" s="4">
        <v>22</v>
      </c>
      <c r="I1818" t="str">
        <f t="shared" si="28"/>
        <v>Cynoscion virescensSeatrout</v>
      </c>
    </row>
    <row r="1819" spans="1:9" x14ac:dyDescent="0.35">
      <c r="A1819">
        <v>30</v>
      </c>
      <c r="B1819">
        <v>2018</v>
      </c>
      <c r="C1819">
        <v>2</v>
      </c>
      <c r="D1819" t="s">
        <v>174</v>
      </c>
      <c r="E1819" t="s">
        <v>349</v>
      </c>
      <c r="F1819" t="s">
        <v>43</v>
      </c>
      <c r="G1819" t="s">
        <v>57</v>
      </c>
      <c r="H1819" s="4">
        <v>21</v>
      </c>
      <c r="I1819" t="str">
        <f t="shared" si="28"/>
        <v>Cynoscion virescensSeatrout</v>
      </c>
    </row>
    <row r="1820" spans="1:9" x14ac:dyDescent="0.35">
      <c r="A1820">
        <v>30</v>
      </c>
      <c r="B1820">
        <v>2018</v>
      </c>
      <c r="C1820">
        <v>2</v>
      </c>
      <c r="D1820" t="s">
        <v>174</v>
      </c>
      <c r="E1820" t="s">
        <v>349</v>
      </c>
      <c r="F1820" t="s">
        <v>43</v>
      </c>
      <c r="G1820" t="s">
        <v>57</v>
      </c>
      <c r="H1820" s="4">
        <v>26</v>
      </c>
      <c r="I1820" t="str">
        <f t="shared" si="28"/>
        <v>Cynoscion virescensSeatrout</v>
      </c>
    </row>
    <row r="1821" spans="1:9" x14ac:dyDescent="0.35">
      <c r="A1821">
        <v>30</v>
      </c>
      <c r="B1821">
        <v>2018</v>
      </c>
      <c r="C1821">
        <v>2</v>
      </c>
      <c r="D1821" t="s">
        <v>174</v>
      </c>
      <c r="E1821" t="s">
        <v>349</v>
      </c>
      <c r="F1821" t="s">
        <v>43</v>
      </c>
      <c r="G1821" t="s">
        <v>57</v>
      </c>
      <c r="H1821" s="4">
        <v>21</v>
      </c>
      <c r="I1821" t="str">
        <f t="shared" si="28"/>
        <v>Cynoscion virescensSeatrout</v>
      </c>
    </row>
    <row r="1822" spans="1:9" x14ac:dyDescent="0.35">
      <c r="A1822">
        <v>30</v>
      </c>
      <c r="B1822">
        <v>2018</v>
      </c>
      <c r="C1822">
        <v>2</v>
      </c>
      <c r="D1822" t="s">
        <v>174</v>
      </c>
      <c r="E1822" t="s">
        <v>349</v>
      </c>
      <c r="F1822" t="s">
        <v>43</v>
      </c>
      <c r="G1822" t="s">
        <v>57</v>
      </c>
      <c r="H1822" s="4">
        <v>20</v>
      </c>
      <c r="I1822" t="str">
        <f t="shared" si="28"/>
        <v>Cynoscion virescensSeatrout</v>
      </c>
    </row>
    <row r="1823" spans="1:9" x14ac:dyDescent="0.35">
      <c r="A1823">
        <v>30</v>
      </c>
      <c r="B1823">
        <v>2018</v>
      </c>
      <c r="C1823">
        <v>2</v>
      </c>
      <c r="D1823" t="s">
        <v>174</v>
      </c>
      <c r="E1823" t="s">
        <v>349</v>
      </c>
      <c r="F1823" t="s">
        <v>43</v>
      </c>
      <c r="G1823" t="s">
        <v>57</v>
      </c>
      <c r="H1823" s="4">
        <v>19</v>
      </c>
      <c r="I1823" t="str">
        <f t="shared" si="28"/>
        <v>Cynoscion virescensSeatrout</v>
      </c>
    </row>
    <row r="1824" spans="1:9" x14ac:dyDescent="0.35">
      <c r="A1824">
        <v>30</v>
      </c>
      <c r="B1824">
        <v>2018</v>
      </c>
      <c r="C1824">
        <v>2</v>
      </c>
      <c r="D1824" t="s">
        <v>174</v>
      </c>
      <c r="E1824" t="s">
        <v>349</v>
      </c>
      <c r="F1824" t="s">
        <v>43</v>
      </c>
      <c r="G1824" t="s">
        <v>57</v>
      </c>
      <c r="H1824" s="4">
        <v>18</v>
      </c>
      <c r="I1824" t="str">
        <f t="shared" si="28"/>
        <v>Cynoscion virescensSeatrout</v>
      </c>
    </row>
    <row r="1825" spans="1:9" x14ac:dyDescent="0.35">
      <c r="A1825">
        <v>30</v>
      </c>
      <c r="B1825">
        <v>2018</v>
      </c>
      <c r="C1825">
        <v>2</v>
      </c>
      <c r="D1825" t="s">
        <v>174</v>
      </c>
      <c r="E1825" t="s">
        <v>349</v>
      </c>
      <c r="F1825" t="s">
        <v>43</v>
      </c>
      <c r="G1825" t="s">
        <v>57</v>
      </c>
      <c r="H1825" s="4">
        <v>21</v>
      </c>
      <c r="I1825" t="str">
        <f t="shared" si="28"/>
        <v>Cynoscion virescensSeatrout</v>
      </c>
    </row>
    <row r="1826" spans="1:9" x14ac:dyDescent="0.35">
      <c r="A1826">
        <v>30</v>
      </c>
      <c r="B1826">
        <v>2018</v>
      </c>
      <c r="C1826">
        <v>2</v>
      </c>
      <c r="D1826" t="s">
        <v>174</v>
      </c>
      <c r="E1826" t="s">
        <v>349</v>
      </c>
      <c r="F1826" t="s">
        <v>43</v>
      </c>
      <c r="G1826" t="s">
        <v>57</v>
      </c>
      <c r="H1826" s="4">
        <v>20</v>
      </c>
      <c r="I1826" t="str">
        <f t="shared" si="28"/>
        <v>Cynoscion virescensSeatrout</v>
      </c>
    </row>
    <row r="1827" spans="1:9" x14ac:dyDescent="0.35">
      <c r="A1827">
        <v>30</v>
      </c>
      <c r="B1827">
        <v>2018</v>
      </c>
      <c r="C1827">
        <v>2</v>
      </c>
      <c r="D1827" t="s">
        <v>174</v>
      </c>
      <c r="E1827" t="s">
        <v>349</v>
      </c>
      <c r="F1827" t="s">
        <v>43</v>
      </c>
      <c r="G1827" t="s">
        <v>57</v>
      </c>
      <c r="H1827" s="4">
        <v>26</v>
      </c>
      <c r="I1827" t="str">
        <f t="shared" si="28"/>
        <v>Cynoscion virescensSeatrout</v>
      </c>
    </row>
    <row r="1828" spans="1:9" x14ac:dyDescent="0.35">
      <c r="A1828">
        <v>30</v>
      </c>
      <c r="B1828">
        <v>2018</v>
      </c>
      <c r="C1828">
        <v>2</v>
      </c>
      <c r="D1828" t="s">
        <v>174</v>
      </c>
      <c r="E1828" t="s">
        <v>349</v>
      </c>
      <c r="F1828" t="s">
        <v>43</v>
      </c>
      <c r="G1828" t="s">
        <v>57</v>
      </c>
      <c r="H1828" s="4">
        <v>27</v>
      </c>
      <c r="I1828" t="str">
        <f t="shared" si="28"/>
        <v>Cynoscion virescensSeatrout</v>
      </c>
    </row>
    <row r="1829" spans="1:9" x14ac:dyDescent="0.35">
      <c r="A1829">
        <v>30</v>
      </c>
      <c r="B1829">
        <v>2018</v>
      </c>
      <c r="C1829">
        <v>2</v>
      </c>
      <c r="D1829" t="s">
        <v>174</v>
      </c>
      <c r="E1829" t="s">
        <v>349</v>
      </c>
      <c r="F1829" t="s">
        <v>43</v>
      </c>
      <c r="G1829" t="s">
        <v>57</v>
      </c>
      <c r="H1829" s="4">
        <v>21</v>
      </c>
      <c r="I1829" t="str">
        <f t="shared" si="28"/>
        <v>Cynoscion virescensSeatrout</v>
      </c>
    </row>
    <row r="1830" spans="1:9" x14ac:dyDescent="0.35">
      <c r="A1830">
        <v>30</v>
      </c>
      <c r="B1830">
        <v>2018</v>
      </c>
      <c r="C1830">
        <v>2</v>
      </c>
      <c r="D1830" t="s">
        <v>174</v>
      </c>
      <c r="E1830" t="s">
        <v>349</v>
      </c>
      <c r="F1830" t="s">
        <v>43</v>
      </c>
      <c r="G1830" t="s">
        <v>57</v>
      </c>
      <c r="H1830" s="4">
        <v>22</v>
      </c>
      <c r="I1830" t="str">
        <f t="shared" si="28"/>
        <v>Cynoscion virescensSeatrout</v>
      </c>
    </row>
    <row r="1831" spans="1:9" x14ac:dyDescent="0.35">
      <c r="A1831">
        <v>30</v>
      </c>
      <c r="B1831">
        <v>2018</v>
      </c>
      <c r="C1831">
        <v>2</v>
      </c>
      <c r="D1831" t="s">
        <v>174</v>
      </c>
      <c r="E1831" t="s">
        <v>349</v>
      </c>
      <c r="F1831" t="s">
        <v>43</v>
      </c>
      <c r="G1831" t="s">
        <v>57</v>
      </c>
      <c r="H1831" s="4">
        <v>18</v>
      </c>
      <c r="I1831" t="str">
        <f t="shared" si="28"/>
        <v>Cynoscion virescensSeatrout</v>
      </c>
    </row>
    <row r="1832" spans="1:9" x14ac:dyDescent="0.35">
      <c r="A1832">
        <v>30</v>
      </c>
      <c r="B1832">
        <v>2018</v>
      </c>
      <c r="C1832">
        <v>2</v>
      </c>
      <c r="D1832" t="s">
        <v>174</v>
      </c>
      <c r="E1832" t="s">
        <v>349</v>
      </c>
      <c r="F1832" t="s">
        <v>43</v>
      </c>
      <c r="G1832" t="s">
        <v>57</v>
      </c>
      <c r="H1832" s="4">
        <v>19</v>
      </c>
      <c r="I1832" t="str">
        <f t="shared" si="28"/>
        <v>Cynoscion virescensSeatrout</v>
      </c>
    </row>
    <row r="1833" spans="1:9" x14ac:dyDescent="0.35">
      <c r="A1833">
        <v>30</v>
      </c>
      <c r="B1833">
        <v>2018</v>
      </c>
      <c r="C1833">
        <v>2</v>
      </c>
      <c r="D1833" t="s">
        <v>174</v>
      </c>
      <c r="E1833" t="s">
        <v>349</v>
      </c>
      <c r="F1833" t="s">
        <v>43</v>
      </c>
      <c r="G1833" t="s">
        <v>57</v>
      </c>
      <c r="H1833" s="4">
        <v>17</v>
      </c>
      <c r="I1833" t="str">
        <f t="shared" si="28"/>
        <v>Cynoscion virescensSeatrout</v>
      </c>
    </row>
    <row r="1834" spans="1:9" x14ac:dyDescent="0.35">
      <c r="A1834">
        <v>30</v>
      </c>
      <c r="B1834">
        <v>2018</v>
      </c>
      <c r="C1834">
        <v>2</v>
      </c>
      <c r="D1834" t="s">
        <v>174</v>
      </c>
      <c r="E1834" t="s">
        <v>349</v>
      </c>
      <c r="F1834" t="s">
        <v>43</v>
      </c>
      <c r="G1834" t="s">
        <v>57</v>
      </c>
      <c r="H1834" s="4">
        <v>19</v>
      </c>
      <c r="I1834" t="str">
        <f t="shared" si="28"/>
        <v>Cynoscion virescensSeatrout</v>
      </c>
    </row>
    <row r="1835" spans="1:9" x14ac:dyDescent="0.35">
      <c r="A1835">
        <v>30</v>
      </c>
      <c r="B1835">
        <v>2018</v>
      </c>
      <c r="C1835">
        <v>2</v>
      </c>
      <c r="D1835" t="s">
        <v>174</v>
      </c>
      <c r="E1835" t="s">
        <v>349</v>
      </c>
      <c r="F1835" t="s">
        <v>43</v>
      </c>
      <c r="G1835" t="s">
        <v>57</v>
      </c>
      <c r="H1835" s="4">
        <v>22</v>
      </c>
      <c r="I1835" t="str">
        <f t="shared" si="28"/>
        <v>Cynoscion virescensSeatrout</v>
      </c>
    </row>
    <row r="1836" spans="1:9" x14ac:dyDescent="0.35">
      <c r="A1836">
        <v>30</v>
      </c>
      <c r="B1836">
        <v>2018</v>
      </c>
      <c r="C1836">
        <v>2</v>
      </c>
      <c r="D1836" t="s">
        <v>174</v>
      </c>
      <c r="E1836" t="s">
        <v>349</v>
      </c>
      <c r="F1836" t="s">
        <v>58</v>
      </c>
      <c r="G1836" t="s">
        <v>59</v>
      </c>
      <c r="H1836" s="4">
        <v>11</v>
      </c>
      <c r="I1836" t="str">
        <f t="shared" si="28"/>
        <v>Stellifer rastriferRockhead</v>
      </c>
    </row>
    <row r="1837" spans="1:9" x14ac:dyDescent="0.35">
      <c r="A1837">
        <v>30</v>
      </c>
      <c r="B1837">
        <v>2018</v>
      </c>
      <c r="C1837">
        <v>2</v>
      </c>
      <c r="D1837" t="s">
        <v>174</v>
      </c>
      <c r="E1837" t="s">
        <v>349</v>
      </c>
      <c r="F1837" t="s">
        <v>58</v>
      </c>
      <c r="G1837" t="s">
        <v>59</v>
      </c>
      <c r="H1837" s="4">
        <v>14</v>
      </c>
      <c r="I1837" t="str">
        <f t="shared" si="28"/>
        <v>Stellifer rastriferRockhead</v>
      </c>
    </row>
    <row r="1838" spans="1:9" x14ac:dyDescent="0.35">
      <c r="A1838">
        <v>30</v>
      </c>
      <c r="B1838">
        <v>2018</v>
      </c>
      <c r="C1838">
        <v>2</v>
      </c>
      <c r="D1838" t="s">
        <v>174</v>
      </c>
      <c r="E1838" t="s">
        <v>349</v>
      </c>
      <c r="F1838" t="s">
        <v>58</v>
      </c>
      <c r="G1838" t="s">
        <v>59</v>
      </c>
      <c r="H1838" s="4">
        <v>11</v>
      </c>
      <c r="I1838" t="str">
        <f t="shared" si="28"/>
        <v>Stellifer rastriferRockhead</v>
      </c>
    </row>
    <row r="1839" spans="1:9" x14ac:dyDescent="0.35">
      <c r="A1839">
        <v>30</v>
      </c>
      <c r="B1839">
        <v>2018</v>
      </c>
      <c r="C1839">
        <v>2</v>
      </c>
      <c r="D1839" t="s">
        <v>174</v>
      </c>
      <c r="E1839" t="s">
        <v>349</v>
      </c>
      <c r="F1839" t="s">
        <v>58</v>
      </c>
      <c r="G1839" t="s">
        <v>59</v>
      </c>
      <c r="H1839" s="4">
        <v>15</v>
      </c>
      <c r="I1839" t="str">
        <f t="shared" si="28"/>
        <v>Stellifer rastriferRockhead</v>
      </c>
    </row>
    <row r="1840" spans="1:9" x14ac:dyDescent="0.35">
      <c r="A1840">
        <v>30</v>
      </c>
      <c r="B1840">
        <v>2018</v>
      </c>
      <c r="C1840">
        <v>2</v>
      </c>
      <c r="D1840" t="s">
        <v>174</v>
      </c>
      <c r="E1840" t="s">
        <v>349</v>
      </c>
      <c r="F1840" t="s">
        <v>58</v>
      </c>
      <c r="G1840" t="s">
        <v>59</v>
      </c>
      <c r="H1840" s="4">
        <v>16</v>
      </c>
      <c r="I1840" t="str">
        <f t="shared" si="28"/>
        <v>Stellifer rastriferRockhead</v>
      </c>
    </row>
    <row r="1841" spans="1:9" x14ac:dyDescent="0.35">
      <c r="A1841">
        <v>30</v>
      </c>
      <c r="B1841">
        <v>2018</v>
      </c>
      <c r="C1841">
        <v>2</v>
      </c>
      <c r="D1841" t="s">
        <v>174</v>
      </c>
      <c r="E1841" t="s">
        <v>349</v>
      </c>
      <c r="F1841" t="s">
        <v>58</v>
      </c>
      <c r="G1841" t="s">
        <v>59</v>
      </c>
      <c r="H1841" s="4">
        <v>13</v>
      </c>
      <c r="I1841" t="str">
        <f t="shared" si="28"/>
        <v>Stellifer rastriferRockhead</v>
      </c>
    </row>
    <row r="1842" spans="1:9" x14ac:dyDescent="0.35">
      <c r="A1842">
        <v>30</v>
      </c>
      <c r="B1842">
        <v>2018</v>
      </c>
      <c r="C1842">
        <v>2</v>
      </c>
      <c r="D1842" t="s">
        <v>174</v>
      </c>
      <c r="E1842" t="s">
        <v>349</v>
      </c>
      <c r="F1842" t="s">
        <v>58</v>
      </c>
      <c r="G1842" t="s">
        <v>59</v>
      </c>
      <c r="H1842" s="4">
        <v>14</v>
      </c>
      <c r="I1842" t="str">
        <f t="shared" si="28"/>
        <v>Stellifer rastriferRockhead</v>
      </c>
    </row>
    <row r="1843" spans="1:9" x14ac:dyDescent="0.35">
      <c r="A1843">
        <v>30</v>
      </c>
      <c r="B1843">
        <v>2018</v>
      </c>
      <c r="C1843">
        <v>2</v>
      </c>
      <c r="D1843" t="s">
        <v>174</v>
      </c>
      <c r="E1843" t="s">
        <v>349</v>
      </c>
      <c r="F1843" t="s">
        <v>58</v>
      </c>
      <c r="G1843" t="s">
        <v>59</v>
      </c>
      <c r="H1843" s="4">
        <v>12</v>
      </c>
      <c r="I1843" t="str">
        <f t="shared" si="28"/>
        <v>Stellifer rastriferRockhead</v>
      </c>
    </row>
    <row r="1844" spans="1:9" x14ac:dyDescent="0.35">
      <c r="A1844">
        <v>30</v>
      </c>
      <c r="B1844">
        <v>2018</v>
      </c>
      <c r="C1844">
        <v>2</v>
      </c>
      <c r="D1844" t="s">
        <v>174</v>
      </c>
      <c r="E1844" t="s">
        <v>349</v>
      </c>
      <c r="F1844" t="s">
        <v>58</v>
      </c>
      <c r="G1844" t="s">
        <v>59</v>
      </c>
      <c r="H1844" s="4">
        <v>12</v>
      </c>
      <c r="I1844" t="str">
        <f t="shared" si="28"/>
        <v>Stellifer rastriferRockhead</v>
      </c>
    </row>
    <row r="1845" spans="1:9" x14ac:dyDescent="0.35">
      <c r="A1845">
        <v>30</v>
      </c>
      <c r="B1845">
        <v>2018</v>
      </c>
      <c r="C1845">
        <v>2</v>
      </c>
      <c r="D1845" t="s">
        <v>174</v>
      </c>
      <c r="E1845" t="s">
        <v>349</v>
      </c>
      <c r="F1845" t="s">
        <v>58</v>
      </c>
      <c r="G1845" t="s">
        <v>59</v>
      </c>
      <c r="H1845" s="4">
        <v>16</v>
      </c>
      <c r="I1845" t="str">
        <f t="shared" si="28"/>
        <v>Stellifer rastriferRockhead</v>
      </c>
    </row>
    <row r="1846" spans="1:9" x14ac:dyDescent="0.35">
      <c r="A1846">
        <v>30</v>
      </c>
      <c r="B1846">
        <v>2018</v>
      </c>
      <c r="C1846">
        <v>2</v>
      </c>
      <c r="D1846" t="s">
        <v>174</v>
      </c>
      <c r="E1846" t="s">
        <v>349</v>
      </c>
      <c r="F1846" t="s">
        <v>58</v>
      </c>
      <c r="G1846" t="s">
        <v>59</v>
      </c>
      <c r="H1846" s="4">
        <v>14</v>
      </c>
      <c r="I1846" t="str">
        <f t="shared" si="28"/>
        <v>Stellifer rastriferRockhead</v>
      </c>
    </row>
    <row r="1847" spans="1:9" x14ac:dyDescent="0.35">
      <c r="A1847">
        <v>30</v>
      </c>
      <c r="B1847">
        <v>2018</v>
      </c>
      <c r="C1847">
        <v>2</v>
      </c>
      <c r="D1847" t="s">
        <v>174</v>
      </c>
      <c r="E1847" t="s">
        <v>349</v>
      </c>
      <c r="F1847" t="s">
        <v>58</v>
      </c>
      <c r="G1847" t="s">
        <v>59</v>
      </c>
      <c r="H1847" s="4">
        <v>15</v>
      </c>
      <c r="I1847" t="str">
        <f t="shared" si="28"/>
        <v>Stellifer rastriferRockhead</v>
      </c>
    </row>
    <row r="1848" spans="1:9" x14ac:dyDescent="0.35">
      <c r="A1848">
        <v>30</v>
      </c>
      <c r="B1848">
        <v>2018</v>
      </c>
      <c r="C1848">
        <v>2</v>
      </c>
      <c r="D1848" t="s">
        <v>174</v>
      </c>
      <c r="E1848" t="s">
        <v>349</v>
      </c>
      <c r="F1848" t="s">
        <v>58</v>
      </c>
      <c r="G1848" t="s">
        <v>59</v>
      </c>
      <c r="H1848" s="4">
        <v>14</v>
      </c>
      <c r="I1848" t="str">
        <f t="shared" si="28"/>
        <v>Stellifer rastriferRockhead</v>
      </c>
    </row>
    <row r="1849" spans="1:9" x14ac:dyDescent="0.35">
      <c r="A1849">
        <v>30</v>
      </c>
      <c r="B1849">
        <v>2018</v>
      </c>
      <c r="C1849">
        <v>2</v>
      </c>
      <c r="D1849" t="s">
        <v>174</v>
      </c>
      <c r="E1849" t="s">
        <v>349</v>
      </c>
      <c r="F1849" t="s">
        <v>58</v>
      </c>
      <c r="G1849" t="s">
        <v>59</v>
      </c>
      <c r="H1849" s="4">
        <v>18</v>
      </c>
      <c r="I1849" t="str">
        <f t="shared" si="28"/>
        <v>Stellifer rastriferRockhead</v>
      </c>
    </row>
    <row r="1850" spans="1:9" x14ac:dyDescent="0.35">
      <c r="A1850">
        <v>30</v>
      </c>
      <c r="B1850">
        <v>2018</v>
      </c>
      <c r="C1850">
        <v>2</v>
      </c>
      <c r="D1850" t="s">
        <v>174</v>
      </c>
      <c r="E1850" t="s">
        <v>349</v>
      </c>
      <c r="F1850" t="s">
        <v>58</v>
      </c>
      <c r="G1850" t="s">
        <v>59</v>
      </c>
      <c r="H1850" s="4">
        <v>17</v>
      </c>
      <c r="I1850" t="str">
        <f t="shared" si="28"/>
        <v>Stellifer rastriferRockhead</v>
      </c>
    </row>
    <row r="1851" spans="1:9" x14ac:dyDescent="0.35">
      <c r="A1851">
        <v>30</v>
      </c>
      <c r="B1851">
        <v>2018</v>
      </c>
      <c r="C1851">
        <v>2</v>
      </c>
      <c r="D1851" t="s">
        <v>174</v>
      </c>
      <c r="E1851" t="s">
        <v>349</v>
      </c>
      <c r="F1851" t="s">
        <v>58</v>
      </c>
      <c r="G1851" t="s">
        <v>59</v>
      </c>
      <c r="H1851" s="4">
        <v>13</v>
      </c>
      <c r="I1851" t="str">
        <f t="shared" si="28"/>
        <v>Stellifer rastriferRockhead</v>
      </c>
    </row>
    <row r="1852" spans="1:9" x14ac:dyDescent="0.35">
      <c r="A1852">
        <v>30</v>
      </c>
      <c r="B1852">
        <v>2018</v>
      </c>
      <c r="C1852">
        <v>2</v>
      </c>
      <c r="D1852" t="s">
        <v>174</v>
      </c>
      <c r="E1852" t="s">
        <v>349</v>
      </c>
      <c r="F1852" t="s">
        <v>58</v>
      </c>
      <c r="G1852" t="s">
        <v>59</v>
      </c>
      <c r="H1852" s="4">
        <v>14</v>
      </c>
      <c r="I1852" t="str">
        <f t="shared" si="28"/>
        <v>Stellifer rastriferRockhead</v>
      </c>
    </row>
    <row r="1853" spans="1:9" x14ac:dyDescent="0.35">
      <c r="A1853">
        <v>30</v>
      </c>
      <c r="B1853">
        <v>2018</v>
      </c>
      <c r="C1853">
        <v>2</v>
      </c>
      <c r="D1853" t="s">
        <v>174</v>
      </c>
      <c r="E1853" t="s">
        <v>349</v>
      </c>
      <c r="F1853" t="s">
        <v>58</v>
      </c>
      <c r="G1853" t="s">
        <v>59</v>
      </c>
      <c r="H1853" s="4">
        <v>12</v>
      </c>
      <c r="I1853" t="str">
        <f t="shared" si="28"/>
        <v>Stellifer rastriferRockhead</v>
      </c>
    </row>
    <row r="1854" spans="1:9" x14ac:dyDescent="0.35">
      <c r="A1854">
        <v>30</v>
      </c>
      <c r="B1854">
        <v>2018</v>
      </c>
      <c r="C1854">
        <v>2</v>
      </c>
      <c r="D1854" t="s">
        <v>174</v>
      </c>
      <c r="E1854" t="s">
        <v>349</v>
      </c>
      <c r="F1854" t="s">
        <v>58</v>
      </c>
      <c r="G1854" t="s">
        <v>59</v>
      </c>
      <c r="H1854" s="4">
        <v>11</v>
      </c>
      <c r="I1854" t="str">
        <f t="shared" si="28"/>
        <v>Stellifer rastriferRockhead</v>
      </c>
    </row>
    <row r="1855" spans="1:9" x14ac:dyDescent="0.35">
      <c r="A1855">
        <v>30</v>
      </c>
      <c r="B1855">
        <v>2018</v>
      </c>
      <c r="C1855">
        <v>2</v>
      </c>
      <c r="D1855" t="s">
        <v>174</v>
      </c>
      <c r="E1855" t="s">
        <v>349</v>
      </c>
      <c r="F1855" t="s">
        <v>58</v>
      </c>
      <c r="G1855" t="s">
        <v>59</v>
      </c>
      <c r="H1855" s="4">
        <v>11</v>
      </c>
      <c r="I1855" t="str">
        <f t="shared" si="28"/>
        <v>Stellifer rastriferRockhead</v>
      </c>
    </row>
    <row r="1856" spans="1:9" x14ac:dyDescent="0.35">
      <c r="A1856">
        <v>30</v>
      </c>
      <c r="B1856">
        <v>2018</v>
      </c>
      <c r="C1856">
        <v>2</v>
      </c>
      <c r="D1856" t="s">
        <v>174</v>
      </c>
      <c r="E1856" t="s">
        <v>349</v>
      </c>
      <c r="F1856" t="s">
        <v>58</v>
      </c>
      <c r="G1856" t="s">
        <v>59</v>
      </c>
      <c r="H1856" s="4">
        <v>10</v>
      </c>
      <c r="I1856" t="str">
        <f t="shared" si="28"/>
        <v>Stellifer rastriferRockhead</v>
      </c>
    </row>
    <row r="1857" spans="1:9" x14ac:dyDescent="0.35">
      <c r="A1857">
        <v>30</v>
      </c>
      <c r="B1857">
        <v>2018</v>
      </c>
      <c r="C1857">
        <v>2</v>
      </c>
      <c r="D1857" t="s">
        <v>174</v>
      </c>
      <c r="E1857" t="s">
        <v>349</v>
      </c>
      <c r="F1857" t="s">
        <v>58</v>
      </c>
      <c r="G1857" t="s">
        <v>59</v>
      </c>
      <c r="H1857" s="4">
        <v>11</v>
      </c>
      <c r="I1857" t="str">
        <f t="shared" si="28"/>
        <v>Stellifer rastriferRockhead</v>
      </c>
    </row>
    <row r="1858" spans="1:9" x14ac:dyDescent="0.35">
      <c r="A1858">
        <v>30</v>
      </c>
      <c r="B1858">
        <v>2018</v>
      </c>
      <c r="C1858">
        <v>2</v>
      </c>
      <c r="D1858" t="s">
        <v>174</v>
      </c>
      <c r="E1858" t="s">
        <v>349</v>
      </c>
      <c r="F1858" t="s">
        <v>58</v>
      </c>
      <c r="G1858" t="s">
        <v>59</v>
      </c>
      <c r="H1858" s="4">
        <v>11</v>
      </c>
      <c r="I1858" t="str">
        <f t="shared" ref="I1858:I1921" si="29">CONCATENATE(F1858,G1858)</f>
        <v>Stellifer rastriferRockhead</v>
      </c>
    </row>
    <row r="1859" spans="1:9" x14ac:dyDescent="0.35">
      <c r="A1859">
        <v>30</v>
      </c>
      <c r="B1859">
        <v>2018</v>
      </c>
      <c r="C1859">
        <v>2</v>
      </c>
      <c r="D1859" t="s">
        <v>174</v>
      </c>
      <c r="E1859" t="s">
        <v>349</v>
      </c>
      <c r="F1859" t="s">
        <v>58</v>
      </c>
      <c r="G1859" t="s">
        <v>59</v>
      </c>
      <c r="H1859" s="4">
        <v>10</v>
      </c>
      <c r="I1859" t="str">
        <f t="shared" si="29"/>
        <v>Stellifer rastriferRockhead</v>
      </c>
    </row>
    <row r="1860" spans="1:9" x14ac:dyDescent="0.35">
      <c r="A1860">
        <v>30</v>
      </c>
      <c r="B1860">
        <v>2018</v>
      </c>
      <c r="C1860">
        <v>2</v>
      </c>
      <c r="D1860" t="s">
        <v>174</v>
      </c>
      <c r="E1860" t="s">
        <v>349</v>
      </c>
      <c r="F1860" t="s">
        <v>58</v>
      </c>
      <c r="G1860" t="s">
        <v>59</v>
      </c>
      <c r="H1860" s="4">
        <v>10</v>
      </c>
      <c r="I1860" t="str">
        <f t="shared" si="29"/>
        <v>Stellifer rastriferRockhead</v>
      </c>
    </row>
    <row r="1861" spans="1:9" x14ac:dyDescent="0.35">
      <c r="A1861">
        <v>30</v>
      </c>
      <c r="B1861">
        <v>2018</v>
      </c>
      <c r="C1861">
        <v>2</v>
      </c>
      <c r="D1861" t="s">
        <v>174</v>
      </c>
      <c r="E1861" t="s">
        <v>349</v>
      </c>
      <c r="F1861" t="s">
        <v>58</v>
      </c>
      <c r="G1861" t="s">
        <v>59</v>
      </c>
      <c r="H1861" s="4">
        <v>11</v>
      </c>
      <c r="I1861" t="str">
        <f t="shared" si="29"/>
        <v>Stellifer rastriferRockhead</v>
      </c>
    </row>
    <row r="1862" spans="1:9" x14ac:dyDescent="0.35">
      <c r="A1862">
        <v>30</v>
      </c>
      <c r="B1862">
        <v>2018</v>
      </c>
      <c r="C1862">
        <v>2</v>
      </c>
      <c r="D1862" t="s">
        <v>174</v>
      </c>
      <c r="E1862" t="s">
        <v>349</v>
      </c>
      <c r="F1862" t="s">
        <v>58</v>
      </c>
      <c r="G1862" t="s">
        <v>59</v>
      </c>
      <c r="H1862" s="4">
        <v>9</v>
      </c>
      <c r="I1862" t="str">
        <f t="shared" si="29"/>
        <v>Stellifer rastriferRockhead</v>
      </c>
    </row>
    <row r="1863" spans="1:9" x14ac:dyDescent="0.35">
      <c r="A1863">
        <v>30</v>
      </c>
      <c r="B1863">
        <v>2018</v>
      </c>
      <c r="C1863">
        <v>2</v>
      </c>
      <c r="D1863" t="s">
        <v>174</v>
      </c>
      <c r="E1863" t="s">
        <v>349</v>
      </c>
      <c r="F1863" t="s">
        <v>58</v>
      </c>
      <c r="G1863" t="s">
        <v>59</v>
      </c>
      <c r="H1863" s="4">
        <v>8</v>
      </c>
      <c r="I1863" t="str">
        <f t="shared" si="29"/>
        <v>Stellifer rastriferRockhead</v>
      </c>
    </row>
    <row r="1864" spans="1:9" x14ac:dyDescent="0.35">
      <c r="A1864">
        <v>30</v>
      </c>
      <c r="B1864">
        <v>2018</v>
      </c>
      <c r="C1864">
        <v>2</v>
      </c>
      <c r="D1864" t="s">
        <v>174</v>
      </c>
      <c r="E1864" t="s">
        <v>349</v>
      </c>
      <c r="F1864" t="s">
        <v>58</v>
      </c>
      <c r="G1864" t="s">
        <v>59</v>
      </c>
      <c r="H1864" s="4">
        <v>15</v>
      </c>
      <c r="I1864" t="str">
        <f t="shared" si="29"/>
        <v>Stellifer rastriferRockhead</v>
      </c>
    </row>
    <row r="1865" spans="1:9" x14ac:dyDescent="0.35">
      <c r="A1865">
        <v>30</v>
      </c>
      <c r="B1865">
        <v>2018</v>
      </c>
      <c r="C1865">
        <v>2</v>
      </c>
      <c r="D1865" t="s">
        <v>174</v>
      </c>
      <c r="E1865" t="s">
        <v>349</v>
      </c>
      <c r="F1865" t="s">
        <v>58</v>
      </c>
      <c r="G1865" t="s">
        <v>59</v>
      </c>
      <c r="H1865" s="4">
        <v>12</v>
      </c>
      <c r="I1865" t="str">
        <f t="shared" si="29"/>
        <v>Stellifer rastriferRockhead</v>
      </c>
    </row>
    <row r="1866" spans="1:9" x14ac:dyDescent="0.35">
      <c r="A1866">
        <v>30</v>
      </c>
      <c r="B1866">
        <v>2018</v>
      </c>
      <c r="C1866">
        <v>2</v>
      </c>
      <c r="D1866" t="s">
        <v>174</v>
      </c>
      <c r="E1866" t="s">
        <v>349</v>
      </c>
      <c r="F1866" t="s">
        <v>6</v>
      </c>
      <c r="G1866" t="s">
        <v>37</v>
      </c>
      <c r="H1866" s="4">
        <v>13</v>
      </c>
      <c r="I1866" t="str">
        <f t="shared" si="29"/>
        <v>Symphurus plagusiaTongue fish</v>
      </c>
    </row>
    <row r="1867" spans="1:9" x14ac:dyDescent="0.35">
      <c r="A1867">
        <v>30</v>
      </c>
      <c r="B1867">
        <v>2018</v>
      </c>
      <c r="C1867">
        <v>2</v>
      </c>
      <c r="D1867" t="s">
        <v>174</v>
      </c>
      <c r="E1867" t="s">
        <v>349</v>
      </c>
      <c r="F1867" t="s">
        <v>6</v>
      </c>
      <c r="G1867" t="s">
        <v>37</v>
      </c>
      <c r="H1867" s="4">
        <v>16</v>
      </c>
      <c r="I1867" t="str">
        <f t="shared" si="29"/>
        <v>Symphurus plagusiaTongue fish</v>
      </c>
    </row>
    <row r="1868" spans="1:9" x14ac:dyDescent="0.35">
      <c r="A1868">
        <v>30</v>
      </c>
      <c r="B1868">
        <v>2018</v>
      </c>
      <c r="C1868">
        <v>2</v>
      </c>
      <c r="D1868" t="s">
        <v>174</v>
      </c>
      <c r="E1868" t="s">
        <v>349</v>
      </c>
      <c r="F1868" t="s">
        <v>6</v>
      </c>
      <c r="G1868" t="s">
        <v>37</v>
      </c>
      <c r="H1868" s="4">
        <v>12</v>
      </c>
      <c r="I1868" t="str">
        <f t="shared" si="29"/>
        <v>Symphurus plagusiaTongue fish</v>
      </c>
    </row>
    <row r="1869" spans="1:9" x14ac:dyDescent="0.35">
      <c r="A1869">
        <v>30</v>
      </c>
      <c r="B1869">
        <v>2018</v>
      </c>
      <c r="C1869">
        <v>2</v>
      </c>
      <c r="D1869" t="s">
        <v>174</v>
      </c>
      <c r="E1869" t="s">
        <v>349</v>
      </c>
      <c r="F1869" t="s">
        <v>6</v>
      </c>
      <c r="G1869" t="s">
        <v>37</v>
      </c>
      <c r="H1869" s="4">
        <v>16</v>
      </c>
      <c r="I1869" t="str">
        <f t="shared" si="29"/>
        <v>Symphurus plagusiaTongue fish</v>
      </c>
    </row>
    <row r="1870" spans="1:9" x14ac:dyDescent="0.35">
      <c r="A1870">
        <v>30</v>
      </c>
      <c r="B1870">
        <v>2018</v>
      </c>
      <c r="C1870">
        <v>2</v>
      </c>
      <c r="D1870" t="s">
        <v>174</v>
      </c>
      <c r="E1870" t="s">
        <v>349</v>
      </c>
      <c r="F1870" t="s">
        <v>6</v>
      </c>
      <c r="G1870" t="s">
        <v>37</v>
      </c>
      <c r="H1870" s="4">
        <v>12</v>
      </c>
      <c r="I1870" t="str">
        <f t="shared" si="29"/>
        <v>Symphurus plagusiaTongue fish</v>
      </c>
    </row>
    <row r="1871" spans="1:9" x14ac:dyDescent="0.35">
      <c r="A1871">
        <v>30</v>
      </c>
      <c r="B1871">
        <v>2018</v>
      </c>
      <c r="C1871">
        <v>2</v>
      </c>
      <c r="D1871" t="s">
        <v>174</v>
      </c>
      <c r="E1871" t="s">
        <v>349</v>
      </c>
      <c r="F1871" t="s">
        <v>6</v>
      </c>
      <c r="G1871" t="s">
        <v>37</v>
      </c>
      <c r="H1871" s="4">
        <v>15</v>
      </c>
      <c r="I1871" t="str">
        <f t="shared" si="29"/>
        <v>Symphurus plagusiaTongue fish</v>
      </c>
    </row>
    <row r="1872" spans="1:9" x14ac:dyDescent="0.35">
      <c r="A1872">
        <v>30</v>
      </c>
      <c r="B1872">
        <v>2018</v>
      </c>
      <c r="C1872">
        <v>2</v>
      </c>
      <c r="D1872" t="s">
        <v>174</v>
      </c>
      <c r="E1872" t="s">
        <v>349</v>
      </c>
      <c r="F1872" t="s">
        <v>6</v>
      </c>
      <c r="G1872" t="s">
        <v>37</v>
      </c>
      <c r="H1872" s="4">
        <v>15</v>
      </c>
      <c r="I1872" t="str">
        <f t="shared" si="29"/>
        <v>Symphurus plagusiaTongue fish</v>
      </c>
    </row>
    <row r="1873" spans="1:9" x14ac:dyDescent="0.35">
      <c r="A1873">
        <v>30</v>
      </c>
      <c r="B1873">
        <v>2018</v>
      </c>
      <c r="C1873">
        <v>2</v>
      </c>
      <c r="D1873" t="s">
        <v>174</v>
      </c>
      <c r="E1873" t="s">
        <v>349</v>
      </c>
      <c r="F1873" t="s">
        <v>6</v>
      </c>
      <c r="G1873" t="s">
        <v>37</v>
      </c>
      <c r="H1873" s="4">
        <v>16</v>
      </c>
      <c r="I1873" t="str">
        <f t="shared" si="29"/>
        <v>Symphurus plagusiaTongue fish</v>
      </c>
    </row>
    <row r="1874" spans="1:9" x14ac:dyDescent="0.35">
      <c r="A1874">
        <v>30</v>
      </c>
      <c r="B1874">
        <v>2018</v>
      </c>
      <c r="C1874">
        <v>2</v>
      </c>
      <c r="D1874" t="s">
        <v>174</v>
      </c>
      <c r="E1874" t="s">
        <v>349</v>
      </c>
      <c r="F1874" t="s">
        <v>6</v>
      </c>
      <c r="G1874" t="s">
        <v>37</v>
      </c>
      <c r="H1874" s="4">
        <v>16</v>
      </c>
      <c r="I1874" t="str">
        <f t="shared" si="29"/>
        <v>Symphurus plagusiaTongue fish</v>
      </c>
    </row>
    <row r="1875" spans="1:9" x14ac:dyDescent="0.35">
      <c r="A1875">
        <v>30</v>
      </c>
      <c r="B1875">
        <v>2018</v>
      </c>
      <c r="C1875">
        <v>2</v>
      </c>
      <c r="D1875" t="s">
        <v>174</v>
      </c>
      <c r="E1875" t="s">
        <v>349</v>
      </c>
      <c r="F1875" t="s">
        <v>6</v>
      </c>
      <c r="G1875" t="s">
        <v>37</v>
      </c>
      <c r="H1875" s="4">
        <v>14</v>
      </c>
      <c r="I1875" t="str">
        <f t="shared" si="29"/>
        <v>Symphurus plagusiaTongue fish</v>
      </c>
    </row>
    <row r="1876" spans="1:9" x14ac:dyDescent="0.35">
      <c r="A1876">
        <v>30</v>
      </c>
      <c r="B1876">
        <v>2018</v>
      </c>
      <c r="C1876">
        <v>2</v>
      </c>
      <c r="D1876" t="s">
        <v>174</v>
      </c>
      <c r="E1876" t="s">
        <v>349</v>
      </c>
      <c r="F1876" t="s">
        <v>6</v>
      </c>
      <c r="G1876" t="s">
        <v>37</v>
      </c>
      <c r="H1876" s="4">
        <v>13</v>
      </c>
      <c r="I1876" t="str">
        <f t="shared" si="29"/>
        <v>Symphurus plagusiaTongue fish</v>
      </c>
    </row>
    <row r="1877" spans="1:9" x14ac:dyDescent="0.35">
      <c r="A1877">
        <v>30</v>
      </c>
      <c r="B1877">
        <v>2018</v>
      </c>
      <c r="C1877">
        <v>2</v>
      </c>
      <c r="D1877" t="s">
        <v>174</v>
      </c>
      <c r="E1877" t="s">
        <v>349</v>
      </c>
      <c r="F1877" t="s">
        <v>6</v>
      </c>
      <c r="G1877" t="s">
        <v>37</v>
      </c>
      <c r="H1877" s="4">
        <v>13</v>
      </c>
      <c r="I1877" t="str">
        <f t="shared" si="29"/>
        <v>Symphurus plagusiaTongue fish</v>
      </c>
    </row>
    <row r="1878" spans="1:9" x14ac:dyDescent="0.35">
      <c r="A1878">
        <v>30</v>
      </c>
      <c r="B1878">
        <v>2018</v>
      </c>
      <c r="C1878">
        <v>2</v>
      </c>
      <c r="D1878" t="s">
        <v>174</v>
      </c>
      <c r="E1878" t="s">
        <v>349</v>
      </c>
      <c r="F1878" t="s">
        <v>6</v>
      </c>
      <c r="G1878" t="s">
        <v>37</v>
      </c>
      <c r="H1878" s="4">
        <v>15</v>
      </c>
      <c r="I1878" t="str">
        <f t="shared" si="29"/>
        <v>Symphurus plagusiaTongue fish</v>
      </c>
    </row>
    <row r="1879" spans="1:9" x14ac:dyDescent="0.35">
      <c r="A1879">
        <v>30</v>
      </c>
      <c r="B1879">
        <v>2018</v>
      </c>
      <c r="C1879">
        <v>2</v>
      </c>
      <c r="D1879" t="s">
        <v>174</v>
      </c>
      <c r="E1879" t="s">
        <v>349</v>
      </c>
      <c r="F1879" t="s">
        <v>6</v>
      </c>
      <c r="G1879" t="s">
        <v>37</v>
      </c>
      <c r="H1879" s="4">
        <v>13</v>
      </c>
      <c r="I1879" t="str">
        <f t="shared" si="29"/>
        <v>Symphurus plagusiaTongue fish</v>
      </c>
    </row>
    <row r="1880" spans="1:9" x14ac:dyDescent="0.35">
      <c r="A1880">
        <v>30</v>
      </c>
      <c r="B1880">
        <v>2018</v>
      </c>
      <c r="C1880">
        <v>2</v>
      </c>
      <c r="D1880" t="s">
        <v>174</v>
      </c>
      <c r="E1880" t="s">
        <v>349</v>
      </c>
      <c r="F1880" t="s">
        <v>6</v>
      </c>
      <c r="G1880" t="s">
        <v>37</v>
      </c>
      <c r="H1880" s="4">
        <v>13</v>
      </c>
      <c r="I1880" t="str">
        <f t="shared" si="29"/>
        <v>Symphurus plagusiaTongue fish</v>
      </c>
    </row>
    <row r="1881" spans="1:9" x14ac:dyDescent="0.35">
      <c r="A1881">
        <v>30</v>
      </c>
      <c r="B1881">
        <v>2018</v>
      </c>
      <c r="C1881">
        <v>2</v>
      </c>
      <c r="D1881" t="s">
        <v>174</v>
      </c>
      <c r="E1881" t="s">
        <v>349</v>
      </c>
      <c r="F1881" t="s">
        <v>6</v>
      </c>
      <c r="G1881" t="s">
        <v>37</v>
      </c>
      <c r="H1881" s="4">
        <v>10</v>
      </c>
      <c r="I1881" t="str">
        <f t="shared" si="29"/>
        <v>Symphurus plagusiaTongue fish</v>
      </c>
    </row>
    <row r="1882" spans="1:9" x14ac:dyDescent="0.35">
      <c r="A1882">
        <v>30</v>
      </c>
      <c r="B1882">
        <v>2018</v>
      </c>
      <c r="C1882">
        <v>2</v>
      </c>
      <c r="D1882" t="s">
        <v>174</v>
      </c>
      <c r="E1882" t="s">
        <v>349</v>
      </c>
      <c r="F1882" t="s">
        <v>6</v>
      </c>
      <c r="G1882" t="s">
        <v>37</v>
      </c>
      <c r="H1882" s="4">
        <v>14</v>
      </c>
      <c r="I1882" t="str">
        <f t="shared" si="29"/>
        <v>Symphurus plagusiaTongue fish</v>
      </c>
    </row>
    <row r="1883" spans="1:9" x14ac:dyDescent="0.35">
      <c r="A1883">
        <v>30</v>
      </c>
      <c r="B1883">
        <v>2018</v>
      </c>
      <c r="C1883">
        <v>2</v>
      </c>
      <c r="D1883" t="s">
        <v>174</v>
      </c>
      <c r="E1883" t="s">
        <v>349</v>
      </c>
      <c r="F1883" t="s">
        <v>6</v>
      </c>
      <c r="G1883" t="s">
        <v>37</v>
      </c>
      <c r="H1883" s="4">
        <v>14</v>
      </c>
      <c r="I1883" t="str">
        <f t="shared" si="29"/>
        <v>Symphurus plagusiaTongue fish</v>
      </c>
    </row>
    <row r="1884" spans="1:9" x14ac:dyDescent="0.35">
      <c r="A1884">
        <v>30</v>
      </c>
      <c r="B1884">
        <v>2018</v>
      </c>
      <c r="C1884">
        <v>2</v>
      </c>
      <c r="D1884" t="s">
        <v>174</v>
      </c>
      <c r="E1884" t="s">
        <v>349</v>
      </c>
      <c r="F1884" t="s">
        <v>6</v>
      </c>
      <c r="G1884" t="s">
        <v>37</v>
      </c>
      <c r="H1884" s="4">
        <v>12</v>
      </c>
      <c r="I1884" t="str">
        <f t="shared" si="29"/>
        <v>Symphurus plagusiaTongue fish</v>
      </c>
    </row>
    <row r="1885" spans="1:9" x14ac:dyDescent="0.35">
      <c r="A1885">
        <v>30</v>
      </c>
      <c r="B1885">
        <v>2018</v>
      </c>
      <c r="C1885">
        <v>2</v>
      </c>
      <c r="D1885" t="s">
        <v>174</v>
      </c>
      <c r="E1885" t="s">
        <v>349</v>
      </c>
      <c r="F1885" t="s">
        <v>6</v>
      </c>
      <c r="G1885" t="s">
        <v>37</v>
      </c>
      <c r="H1885" s="4">
        <v>10</v>
      </c>
      <c r="I1885" t="str">
        <f t="shared" si="29"/>
        <v>Symphurus plagusiaTongue fish</v>
      </c>
    </row>
    <row r="1886" spans="1:9" x14ac:dyDescent="0.35">
      <c r="A1886">
        <v>30</v>
      </c>
      <c r="B1886">
        <v>2018</v>
      </c>
      <c r="C1886">
        <v>2</v>
      </c>
      <c r="D1886" t="s">
        <v>174</v>
      </c>
      <c r="E1886" t="s">
        <v>349</v>
      </c>
      <c r="F1886" t="s">
        <v>6</v>
      </c>
      <c r="G1886" t="s">
        <v>37</v>
      </c>
      <c r="H1886" s="4">
        <v>15</v>
      </c>
      <c r="I1886" t="str">
        <f t="shared" si="29"/>
        <v>Symphurus plagusiaTongue fish</v>
      </c>
    </row>
    <row r="1887" spans="1:9" x14ac:dyDescent="0.35">
      <c r="A1887">
        <v>30</v>
      </c>
      <c r="B1887">
        <v>2018</v>
      </c>
      <c r="C1887">
        <v>2</v>
      </c>
      <c r="D1887" t="s">
        <v>174</v>
      </c>
      <c r="E1887" t="s">
        <v>349</v>
      </c>
      <c r="F1887" t="s">
        <v>6</v>
      </c>
      <c r="G1887" t="s">
        <v>37</v>
      </c>
      <c r="H1887" s="4">
        <v>15</v>
      </c>
      <c r="I1887" t="str">
        <f t="shared" si="29"/>
        <v>Symphurus plagusiaTongue fish</v>
      </c>
    </row>
    <row r="1888" spans="1:9" x14ac:dyDescent="0.35">
      <c r="A1888">
        <v>30</v>
      </c>
      <c r="B1888">
        <v>2018</v>
      </c>
      <c r="C1888">
        <v>2</v>
      </c>
      <c r="D1888" t="s">
        <v>174</v>
      </c>
      <c r="E1888" t="s">
        <v>349</v>
      </c>
      <c r="F1888" t="s">
        <v>6</v>
      </c>
      <c r="G1888" t="s">
        <v>37</v>
      </c>
      <c r="H1888" s="4">
        <v>12</v>
      </c>
      <c r="I1888" t="str">
        <f t="shared" si="29"/>
        <v>Symphurus plagusiaTongue fish</v>
      </c>
    </row>
    <row r="1889" spans="1:9" x14ac:dyDescent="0.35">
      <c r="A1889">
        <v>30</v>
      </c>
      <c r="B1889">
        <v>2018</v>
      </c>
      <c r="C1889">
        <v>2</v>
      </c>
      <c r="D1889" t="s">
        <v>174</v>
      </c>
      <c r="E1889" t="s">
        <v>349</v>
      </c>
      <c r="F1889" t="s">
        <v>6</v>
      </c>
      <c r="G1889" t="s">
        <v>37</v>
      </c>
      <c r="H1889" s="4">
        <v>11</v>
      </c>
      <c r="I1889" t="str">
        <f t="shared" si="29"/>
        <v>Symphurus plagusiaTongue fish</v>
      </c>
    </row>
    <row r="1890" spans="1:9" x14ac:dyDescent="0.35">
      <c r="A1890">
        <v>30</v>
      </c>
      <c r="B1890">
        <v>2018</v>
      </c>
      <c r="C1890">
        <v>2</v>
      </c>
      <c r="D1890" t="s">
        <v>174</v>
      </c>
      <c r="E1890" t="s">
        <v>349</v>
      </c>
      <c r="F1890" t="s">
        <v>6</v>
      </c>
      <c r="G1890" t="s">
        <v>37</v>
      </c>
      <c r="H1890" s="4">
        <v>10</v>
      </c>
      <c r="I1890" t="str">
        <f t="shared" si="29"/>
        <v>Symphurus plagusiaTongue fish</v>
      </c>
    </row>
    <row r="1891" spans="1:9" x14ac:dyDescent="0.35">
      <c r="A1891">
        <v>30</v>
      </c>
      <c r="B1891">
        <v>2018</v>
      </c>
      <c r="C1891">
        <v>2</v>
      </c>
      <c r="D1891" t="s">
        <v>174</v>
      </c>
      <c r="E1891" t="s">
        <v>349</v>
      </c>
      <c r="F1891" t="s">
        <v>6</v>
      </c>
      <c r="G1891" t="s">
        <v>37</v>
      </c>
      <c r="H1891" s="4">
        <v>12</v>
      </c>
      <c r="I1891" t="str">
        <f t="shared" si="29"/>
        <v>Symphurus plagusiaTongue fish</v>
      </c>
    </row>
    <row r="1892" spans="1:9" x14ac:dyDescent="0.35">
      <c r="A1892">
        <v>30</v>
      </c>
      <c r="B1892">
        <v>2018</v>
      </c>
      <c r="C1892">
        <v>2</v>
      </c>
      <c r="D1892" t="s">
        <v>174</v>
      </c>
      <c r="E1892" t="s">
        <v>349</v>
      </c>
      <c r="F1892" t="s">
        <v>6</v>
      </c>
      <c r="G1892" t="s">
        <v>37</v>
      </c>
      <c r="H1892" s="4">
        <v>9</v>
      </c>
      <c r="I1892" t="str">
        <f t="shared" si="29"/>
        <v>Symphurus plagusiaTongue fish</v>
      </c>
    </row>
    <row r="1893" spans="1:9" x14ac:dyDescent="0.35">
      <c r="A1893">
        <v>30</v>
      </c>
      <c r="B1893">
        <v>2018</v>
      </c>
      <c r="C1893">
        <v>2</v>
      </c>
      <c r="D1893" t="s">
        <v>174</v>
      </c>
      <c r="E1893" t="s">
        <v>349</v>
      </c>
      <c r="F1893" t="s">
        <v>6</v>
      </c>
      <c r="G1893" t="s">
        <v>37</v>
      </c>
      <c r="H1893" s="4">
        <v>13</v>
      </c>
      <c r="I1893" t="str">
        <f t="shared" si="29"/>
        <v>Symphurus plagusiaTongue fish</v>
      </c>
    </row>
    <row r="1894" spans="1:9" x14ac:dyDescent="0.35">
      <c r="A1894">
        <v>30</v>
      </c>
      <c r="B1894">
        <v>2018</v>
      </c>
      <c r="C1894">
        <v>2</v>
      </c>
      <c r="D1894" t="s">
        <v>174</v>
      </c>
      <c r="E1894" t="s">
        <v>349</v>
      </c>
      <c r="F1894" t="s">
        <v>6</v>
      </c>
      <c r="G1894" t="s">
        <v>37</v>
      </c>
      <c r="H1894" s="4">
        <v>11</v>
      </c>
      <c r="I1894" t="str">
        <f t="shared" si="29"/>
        <v>Symphurus plagusiaTongue fish</v>
      </c>
    </row>
    <row r="1895" spans="1:9" x14ac:dyDescent="0.35">
      <c r="A1895">
        <v>30</v>
      </c>
      <c r="B1895">
        <v>2018</v>
      </c>
      <c r="C1895">
        <v>2</v>
      </c>
      <c r="D1895" t="s">
        <v>174</v>
      </c>
      <c r="E1895" t="s">
        <v>349</v>
      </c>
      <c r="F1895" t="s">
        <v>6</v>
      </c>
      <c r="G1895" t="s">
        <v>37</v>
      </c>
      <c r="H1895" s="4">
        <v>11</v>
      </c>
      <c r="I1895" t="str">
        <f t="shared" si="29"/>
        <v>Symphurus plagusiaTongue fish</v>
      </c>
    </row>
    <row r="1896" spans="1:9" x14ac:dyDescent="0.35">
      <c r="A1896">
        <v>31</v>
      </c>
      <c r="B1896">
        <v>2018</v>
      </c>
      <c r="C1896">
        <v>2</v>
      </c>
      <c r="D1896" t="s">
        <v>176</v>
      </c>
      <c r="E1896" t="s">
        <v>349</v>
      </c>
      <c r="F1896" t="s">
        <v>43</v>
      </c>
      <c r="G1896" t="s">
        <v>57</v>
      </c>
      <c r="H1896" s="4">
        <v>27</v>
      </c>
      <c r="I1896" t="str">
        <f t="shared" si="29"/>
        <v>Cynoscion virescensSeatrout</v>
      </c>
    </row>
    <row r="1897" spans="1:9" x14ac:dyDescent="0.35">
      <c r="A1897">
        <v>31</v>
      </c>
      <c r="B1897">
        <v>2018</v>
      </c>
      <c r="C1897">
        <v>2</v>
      </c>
      <c r="D1897" t="s">
        <v>176</v>
      </c>
      <c r="E1897" t="s">
        <v>349</v>
      </c>
      <c r="F1897" t="s">
        <v>43</v>
      </c>
      <c r="G1897" t="s">
        <v>57</v>
      </c>
      <c r="H1897" s="4">
        <v>10</v>
      </c>
      <c r="I1897" t="str">
        <f t="shared" si="29"/>
        <v>Cynoscion virescensSeatrout</v>
      </c>
    </row>
    <row r="1898" spans="1:9" x14ac:dyDescent="0.35">
      <c r="A1898">
        <v>31</v>
      </c>
      <c r="B1898">
        <v>2018</v>
      </c>
      <c r="C1898">
        <v>2</v>
      </c>
      <c r="D1898" t="s">
        <v>176</v>
      </c>
      <c r="E1898" t="s">
        <v>349</v>
      </c>
      <c r="F1898" t="s">
        <v>43</v>
      </c>
      <c r="G1898" t="s">
        <v>57</v>
      </c>
      <c r="H1898" s="4">
        <v>18</v>
      </c>
      <c r="I1898" t="str">
        <f t="shared" si="29"/>
        <v>Cynoscion virescensSeatrout</v>
      </c>
    </row>
    <row r="1899" spans="1:9" x14ac:dyDescent="0.35">
      <c r="A1899">
        <v>31</v>
      </c>
      <c r="B1899">
        <v>2018</v>
      </c>
      <c r="C1899">
        <v>2</v>
      </c>
      <c r="D1899" t="s">
        <v>176</v>
      </c>
      <c r="E1899" t="s">
        <v>349</v>
      </c>
      <c r="F1899" t="s">
        <v>43</v>
      </c>
      <c r="G1899" t="s">
        <v>57</v>
      </c>
      <c r="H1899" s="4">
        <v>14</v>
      </c>
      <c r="I1899" t="str">
        <f t="shared" si="29"/>
        <v>Cynoscion virescensSeatrout</v>
      </c>
    </row>
    <row r="1900" spans="1:9" x14ac:dyDescent="0.35">
      <c r="A1900">
        <v>31</v>
      </c>
      <c r="B1900">
        <v>2018</v>
      </c>
      <c r="C1900">
        <v>2</v>
      </c>
      <c r="D1900" t="s">
        <v>176</v>
      </c>
      <c r="E1900" t="s">
        <v>349</v>
      </c>
      <c r="F1900" t="s">
        <v>43</v>
      </c>
      <c r="G1900" t="s">
        <v>57</v>
      </c>
      <c r="H1900" s="4">
        <v>19</v>
      </c>
      <c r="I1900" t="str">
        <f t="shared" si="29"/>
        <v>Cynoscion virescensSeatrout</v>
      </c>
    </row>
    <row r="1901" spans="1:9" x14ac:dyDescent="0.35">
      <c r="A1901">
        <v>31</v>
      </c>
      <c r="B1901">
        <v>2018</v>
      </c>
      <c r="C1901">
        <v>2</v>
      </c>
      <c r="D1901" t="s">
        <v>176</v>
      </c>
      <c r="E1901" t="s">
        <v>349</v>
      </c>
      <c r="F1901" t="s">
        <v>43</v>
      </c>
      <c r="G1901" t="s">
        <v>57</v>
      </c>
      <c r="H1901" s="4">
        <v>22</v>
      </c>
      <c r="I1901" t="str">
        <f t="shared" si="29"/>
        <v>Cynoscion virescensSeatrout</v>
      </c>
    </row>
    <row r="1902" spans="1:9" x14ac:dyDescent="0.35">
      <c r="A1902">
        <v>31</v>
      </c>
      <c r="B1902">
        <v>2018</v>
      </c>
      <c r="C1902">
        <v>2</v>
      </c>
      <c r="D1902" t="s">
        <v>176</v>
      </c>
      <c r="E1902" t="s">
        <v>349</v>
      </c>
      <c r="F1902" t="s">
        <v>43</v>
      </c>
      <c r="G1902" t="s">
        <v>57</v>
      </c>
      <c r="H1902" s="4">
        <v>22</v>
      </c>
      <c r="I1902" t="str">
        <f t="shared" si="29"/>
        <v>Cynoscion virescensSeatrout</v>
      </c>
    </row>
    <row r="1903" spans="1:9" x14ac:dyDescent="0.35">
      <c r="A1903">
        <v>31</v>
      </c>
      <c r="B1903">
        <v>2018</v>
      </c>
      <c r="C1903">
        <v>2</v>
      </c>
      <c r="D1903" t="s">
        <v>176</v>
      </c>
      <c r="E1903" t="s">
        <v>349</v>
      </c>
      <c r="F1903" t="s">
        <v>43</v>
      </c>
      <c r="G1903" t="s">
        <v>57</v>
      </c>
      <c r="H1903" s="4">
        <v>19</v>
      </c>
      <c r="I1903" t="str">
        <f t="shared" si="29"/>
        <v>Cynoscion virescensSeatrout</v>
      </c>
    </row>
    <row r="1904" spans="1:9" x14ac:dyDescent="0.35">
      <c r="A1904">
        <v>31</v>
      </c>
      <c r="B1904">
        <v>2018</v>
      </c>
      <c r="C1904">
        <v>2</v>
      </c>
      <c r="D1904" t="s">
        <v>176</v>
      </c>
      <c r="E1904" t="s">
        <v>349</v>
      </c>
      <c r="F1904" t="s">
        <v>43</v>
      </c>
      <c r="G1904" t="s">
        <v>57</v>
      </c>
      <c r="H1904" s="4">
        <v>16</v>
      </c>
      <c r="I1904" t="str">
        <f t="shared" si="29"/>
        <v>Cynoscion virescensSeatrout</v>
      </c>
    </row>
    <row r="1905" spans="1:9" x14ac:dyDescent="0.35">
      <c r="A1905">
        <v>31</v>
      </c>
      <c r="B1905">
        <v>2018</v>
      </c>
      <c r="C1905">
        <v>2</v>
      </c>
      <c r="D1905" t="s">
        <v>176</v>
      </c>
      <c r="E1905" t="s">
        <v>349</v>
      </c>
      <c r="F1905" t="s">
        <v>43</v>
      </c>
      <c r="G1905" t="s">
        <v>57</v>
      </c>
      <c r="H1905" s="4">
        <v>12</v>
      </c>
      <c r="I1905" t="str">
        <f t="shared" si="29"/>
        <v>Cynoscion virescensSeatrout</v>
      </c>
    </row>
    <row r="1906" spans="1:9" x14ac:dyDescent="0.35">
      <c r="A1906">
        <v>31</v>
      </c>
      <c r="B1906">
        <v>2018</v>
      </c>
      <c r="C1906">
        <v>2</v>
      </c>
      <c r="D1906" t="s">
        <v>176</v>
      </c>
      <c r="E1906" t="s">
        <v>349</v>
      </c>
      <c r="F1906" t="s">
        <v>43</v>
      </c>
      <c r="G1906" t="s">
        <v>57</v>
      </c>
      <c r="H1906" s="4">
        <v>13</v>
      </c>
      <c r="I1906" t="str">
        <f t="shared" si="29"/>
        <v>Cynoscion virescensSeatrout</v>
      </c>
    </row>
    <row r="1907" spans="1:9" x14ac:dyDescent="0.35">
      <c r="A1907">
        <v>31</v>
      </c>
      <c r="B1907">
        <v>2018</v>
      </c>
      <c r="C1907">
        <v>2</v>
      </c>
      <c r="D1907" t="s">
        <v>176</v>
      </c>
      <c r="E1907" t="s">
        <v>349</v>
      </c>
      <c r="F1907" t="s">
        <v>43</v>
      </c>
      <c r="G1907" t="s">
        <v>57</v>
      </c>
      <c r="H1907" s="4">
        <v>12</v>
      </c>
      <c r="I1907" t="str">
        <f t="shared" si="29"/>
        <v>Cynoscion virescensSeatrout</v>
      </c>
    </row>
    <row r="1908" spans="1:9" x14ac:dyDescent="0.35">
      <c r="A1908">
        <v>31</v>
      </c>
      <c r="B1908">
        <v>2018</v>
      </c>
      <c r="C1908">
        <v>2</v>
      </c>
      <c r="D1908" t="s">
        <v>176</v>
      </c>
      <c r="E1908" t="s">
        <v>349</v>
      </c>
      <c r="F1908" t="s">
        <v>43</v>
      </c>
      <c r="G1908" t="s">
        <v>57</v>
      </c>
      <c r="H1908" s="4">
        <v>13</v>
      </c>
      <c r="I1908" t="str">
        <f t="shared" si="29"/>
        <v>Cynoscion virescensSeatrout</v>
      </c>
    </row>
    <row r="1909" spans="1:9" x14ac:dyDescent="0.35">
      <c r="A1909">
        <v>31</v>
      </c>
      <c r="B1909">
        <v>2018</v>
      </c>
      <c r="C1909">
        <v>2</v>
      </c>
      <c r="D1909" t="s">
        <v>176</v>
      </c>
      <c r="E1909" t="s">
        <v>349</v>
      </c>
      <c r="F1909" t="s">
        <v>43</v>
      </c>
      <c r="G1909" t="s">
        <v>57</v>
      </c>
      <c r="H1909" s="4">
        <v>12</v>
      </c>
      <c r="I1909" t="str">
        <f t="shared" si="29"/>
        <v>Cynoscion virescensSeatrout</v>
      </c>
    </row>
    <row r="1910" spans="1:9" x14ac:dyDescent="0.35">
      <c r="A1910">
        <v>31</v>
      </c>
      <c r="B1910">
        <v>2018</v>
      </c>
      <c r="C1910">
        <v>2</v>
      </c>
      <c r="D1910" t="s">
        <v>176</v>
      </c>
      <c r="E1910" t="s">
        <v>349</v>
      </c>
      <c r="F1910" t="s">
        <v>43</v>
      </c>
      <c r="G1910" t="s">
        <v>57</v>
      </c>
      <c r="H1910" s="4">
        <v>11</v>
      </c>
      <c r="I1910" t="str">
        <f t="shared" si="29"/>
        <v>Cynoscion virescensSeatrout</v>
      </c>
    </row>
    <row r="1911" spans="1:9" x14ac:dyDescent="0.35">
      <c r="A1911">
        <v>31</v>
      </c>
      <c r="B1911">
        <v>2018</v>
      </c>
      <c r="C1911">
        <v>2</v>
      </c>
      <c r="D1911" t="s">
        <v>176</v>
      </c>
      <c r="E1911" t="s">
        <v>349</v>
      </c>
      <c r="F1911" t="s">
        <v>43</v>
      </c>
      <c r="G1911" t="s">
        <v>57</v>
      </c>
      <c r="H1911" s="4">
        <v>12</v>
      </c>
      <c r="I1911" t="str">
        <f t="shared" si="29"/>
        <v>Cynoscion virescensSeatrout</v>
      </c>
    </row>
    <row r="1912" spans="1:9" x14ac:dyDescent="0.35">
      <c r="A1912">
        <v>31</v>
      </c>
      <c r="B1912">
        <v>2018</v>
      </c>
      <c r="C1912">
        <v>2</v>
      </c>
      <c r="D1912" t="s">
        <v>176</v>
      </c>
      <c r="E1912" t="s">
        <v>349</v>
      </c>
      <c r="F1912" t="s">
        <v>43</v>
      </c>
      <c r="G1912" t="s">
        <v>57</v>
      </c>
      <c r="H1912" s="4">
        <v>14</v>
      </c>
      <c r="I1912" t="str">
        <f t="shared" si="29"/>
        <v>Cynoscion virescensSeatrout</v>
      </c>
    </row>
    <row r="1913" spans="1:9" x14ac:dyDescent="0.35">
      <c r="A1913">
        <v>31</v>
      </c>
      <c r="B1913">
        <v>2018</v>
      </c>
      <c r="C1913">
        <v>2</v>
      </c>
      <c r="D1913" t="s">
        <v>176</v>
      </c>
      <c r="E1913" t="s">
        <v>349</v>
      </c>
      <c r="F1913" t="s">
        <v>43</v>
      </c>
      <c r="G1913" t="s">
        <v>57</v>
      </c>
      <c r="H1913" s="4">
        <v>12</v>
      </c>
      <c r="I1913" t="str">
        <f t="shared" si="29"/>
        <v>Cynoscion virescensSeatrout</v>
      </c>
    </row>
    <row r="1914" spans="1:9" x14ac:dyDescent="0.35">
      <c r="A1914">
        <v>31</v>
      </c>
      <c r="B1914">
        <v>2018</v>
      </c>
      <c r="C1914">
        <v>2</v>
      </c>
      <c r="D1914" t="s">
        <v>176</v>
      </c>
      <c r="E1914" t="s">
        <v>349</v>
      </c>
      <c r="F1914" t="s">
        <v>43</v>
      </c>
      <c r="G1914" t="s">
        <v>57</v>
      </c>
      <c r="H1914" s="4">
        <v>10</v>
      </c>
      <c r="I1914" t="str">
        <f t="shared" si="29"/>
        <v>Cynoscion virescensSeatrout</v>
      </c>
    </row>
    <row r="1915" spans="1:9" x14ac:dyDescent="0.35">
      <c r="A1915">
        <v>31</v>
      </c>
      <c r="B1915">
        <v>2018</v>
      </c>
      <c r="C1915">
        <v>2</v>
      </c>
      <c r="D1915" t="s">
        <v>176</v>
      </c>
      <c r="E1915" t="s">
        <v>349</v>
      </c>
      <c r="F1915" t="s">
        <v>43</v>
      </c>
      <c r="G1915" t="s">
        <v>57</v>
      </c>
      <c r="H1915" s="4">
        <v>8</v>
      </c>
      <c r="I1915" t="str">
        <f t="shared" si="29"/>
        <v>Cynoscion virescensSeatrout</v>
      </c>
    </row>
    <row r="1916" spans="1:9" x14ac:dyDescent="0.35">
      <c r="A1916">
        <v>31</v>
      </c>
      <c r="B1916">
        <v>2018</v>
      </c>
      <c r="C1916">
        <v>2</v>
      </c>
      <c r="D1916" t="s">
        <v>176</v>
      </c>
      <c r="E1916" t="s">
        <v>349</v>
      </c>
      <c r="F1916" t="s">
        <v>43</v>
      </c>
      <c r="G1916" t="s">
        <v>57</v>
      </c>
      <c r="H1916" s="4">
        <v>11</v>
      </c>
      <c r="I1916" t="str">
        <f t="shared" si="29"/>
        <v>Cynoscion virescensSeatrout</v>
      </c>
    </row>
    <row r="1917" spans="1:9" x14ac:dyDescent="0.35">
      <c r="A1917">
        <v>31</v>
      </c>
      <c r="B1917">
        <v>2018</v>
      </c>
      <c r="C1917">
        <v>2</v>
      </c>
      <c r="D1917" t="s">
        <v>176</v>
      </c>
      <c r="E1917" t="s">
        <v>349</v>
      </c>
      <c r="F1917" t="s">
        <v>43</v>
      </c>
      <c r="G1917" t="s">
        <v>57</v>
      </c>
      <c r="H1917" s="4">
        <v>10</v>
      </c>
      <c r="I1917" t="str">
        <f t="shared" si="29"/>
        <v>Cynoscion virescensSeatrout</v>
      </c>
    </row>
    <row r="1918" spans="1:9" x14ac:dyDescent="0.35">
      <c r="A1918">
        <v>31</v>
      </c>
      <c r="B1918">
        <v>2018</v>
      </c>
      <c r="C1918">
        <v>2</v>
      </c>
      <c r="D1918" t="s">
        <v>176</v>
      </c>
      <c r="E1918" t="s">
        <v>349</v>
      </c>
      <c r="F1918" t="s">
        <v>43</v>
      </c>
      <c r="G1918" t="s">
        <v>57</v>
      </c>
      <c r="H1918" s="4">
        <v>11</v>
      </c>
      <c r="I1918" t="str">
        <f t="shared" si="29"/>
        <v>Cynoscion virescensSeatrout</v>
      </c>
    </row>
    <row r="1919" spans="1:9" x14ac:dyDescent="0.35">
      <c r="A1919">
        <v>31</v>
      </c>
      <c r="B1919">
        <v>2018</v>
      </c>
      <c r="C1919">
        <v>2</v>
      </c>
      <c r="D1919" t="s">
        <v>176</v>
      </c>
      <c r="E1919" t="s">
        <v>349</v>
      </c>
      <c r="F1919" t="s">
        <v>43</v>
      </c>
      <c r="G1919" t="s">
        <v>57</v>
      </c>
      <c r="H1919" s="4">
        <v>14</v>
      </c>
      <c r="I1919" t="str">
        <f t="shared" si="29"/>
        <v>Cynoscion virescensSeatrout</v>
      </c>
    </row>
    <row r="1920" spans="1:9" x14ac:dyDescent="0.35">
      <c r="A1920">
        <v>31</v>
      </c>
      <c r="B1920">
        <v>2018</v>
      </c>
      <c r="C1920">
        <v>2</v>
      </c>
      <c r="D1920" t="s">
        <v>176</v>
      </c>
      <c r="E1920" t="s">
        <v>349</v>
      </c>
      <c r="F1920" t="s">
        <v>43</v>
      </c>
      <c r="G1920" t="s">
        <v>57</v>
      </c>
      <c r="H1920" s="4">
        <v>13</v>
      </c>
      <c r="I1920" t="str">
        <f t="shared" si="29"/>
        <v>Cynoscion virescensSeatrout</v>
      </c>
    </row>
    <row r="1921" spans="1:9" x14ac:dyDescent="0.35">
      <c r="A1921">
        <v>31</v>
      </c>
      <c r="B1921">
        <v>2018</v>
      </c>
      <c r="C1921">
        <v>2</v>
      </c>
      <c r="D1921" t="s">
        <v>176</v>
      </c>
      <c r="E1921" t="s">
        <v>349</v>
      </c>
      <c r="F1921" t="s">
        <v>43</v>
      </c>
      <c r="G1921" t="s">
        <v>57</v>
      </c>
      <c r="H1921" s="4">
        <v>14</v>
      </c>
      <c r="I1921" t="str">
        <f t="shared" si="29"/>
        <v>Cynoscion virescensSeatrout</v>
      </c>
    </row>
    <row r="1922" spans="1:9" x14ac:dyDescent="0.35">
      <c r="A1922">
        <v>31</v>
      </c>
      <c r="B1922">
        <v>2018</v>
      </c>
      <c r="C1922">
        <v>2</v>
      </c>
      <c r="D1922" t="s">
        <v>176</v>
      </c>
      <c r="E1922" t="s">
        <v>349</v>
      </c>
      <c r="F1922" t="s">
        <v>43</v>
      </c>
      <c r="G1922" t="s">
        <v>57</v>
      </c>
      <c r="H1922" s="4">
        <v>10</v>
      </c>
      <c r="I1922" t="str">
        <f t="shared" ref="I1922:I1985" si="30">CONCATENATE(F1922,G1922)</f>
        <v>Cynoscion virescensSeatrout</v>
      </c>
    </row>
    <row r="1923" spans="1:9" x14ac:dyDescent="0.35">
      <c r="A1923">
        <v>31</v>
      </c>
      <c r="B1923">
        <v>2018</v>
      </c>
      <c r="C1923">
        <v>2</v>
      </c>
      <c r="D1923" t="s">
        <v>176</v>
      </c>
      <c r="E1923" t="s">
        <v>349</v>
      </c>
      <c r="F1923" t="s">
        <v>43</v>
      </c>
      <c r="G1923" t="s">
        <v>57</v>
      </c>
      <c r="H1923" s="4">
        <v>10</v>
      </c>
      <c r="I1923" t="str">
        <f t="shared" si="30"/>
        <v>Cynoscion virescensSeatrout</v>
      </c>
    </row>
    <row r="1924" spans="1:9" x14ac:dyDescent="0.35">
      <c r="A1924">
        <v>31</v>
      </c>
      <c r="B1924">
        <v>2018</v>
      </c>
      <c r="C1924">
        <v>2</v>
      </c>
      <c r="D1924" t="s">
        <v>176</v>
      </c>
      <c r="E1924" t="s">
        <v>349</v>
      </c>
      <c r="F1924" t="s">
        <v>43</v>
      </c>
      <c r="G1924" t="s">
        <v>57</v>
      </c>
      <c r="H1924" s="4">
        <v>8</v>
      </c>
      <c r="I1924" t="str">
        <f t="shared" si="30"/>
        <v>Cynoscion virescensSeatrout</v>
      </c>
    </row>
    <row r="1925" spans="1:9" x14ac:dyDescent="0.35">
      <c r="A1925">
        <v>31</v>
      </c>
      <c r="B1925">
        <v>2018</v>
      </c>
      <c r="C1925">
        <v>2</v>
      </c>
      <c r="D1925" t="s">
        <v>176</v>
      </c>
      <c r="E1925" t="s">
        <v>349</v>
      </c>
      <c r="F1925" t="s">
        <v>43</v>
      </c>
      <c r="G1925" t="s">
        <v>57</v>
      </c>
      <c r="H1925" s="4">
        <v>12</v>
      </c>
      <c r="I1925" t="str">
        <f t="shared" si="30"/>
        <v>Cynoscion virescensSeatrout</v>
      </c>
    </row>
    <row r="1926" spans="1:9" x14ac:dyDescent="0.35">
      <c r="A1926">
        <v>31</v>
      </c>
      <c r="B1926">
        <v>2018</v>
      </c>
      <c r="C1926">
        <v>2</v>
      </c>
      <c r="D1926" t="s">
        <v>176</v>
      </c>
      <c r="E1926" t="s">
        <v>349</v>
      </c>
      <c r="F1926" t="s">
        <v>40</v>
      </c>
      <c r="G1926" t="s">
        <v>35</v>
      </c>
      <c r="H1926" s="4">
        <v>19</v>
      </c>
      <c r="I1926" t="str">
        <f t="shared" si="30"/>
        <v>Macrodon ancylodonBangamary</v>
      </c>
    </row>
    <row r="1927" spans="1:9" x14ac:dyDescent="0.35">
      <c r="A1927">
        <v>31</v>
      </c>
      <c r="B1927">
        <v>2018</v>
      </c>
      <c r="C1927">
        <v>2</v>
      </c>
      <c r="D1927" t="s">
        <v>176</v>
      </c>
      <c r="E1927" t="s">
        <v>349</v>
      </c>
      <c r="F1927" t="s">
        <v>40</v>
      </c>
      <c r="G1927" t="s">
        <v>35</v>
      </c>
      <c r="H1927" s="4">
        <v>18</v>
      </c>
      <c r="I1927" t="str">
        <f t="shared" si="30"/>
        <v>Macrodon ancylodonBangamary</v>
      </c>
    </row>
    <row r="1928" spans="1:9" x14ac:dyDescent="0.35">
      <c r="A1928">
        <v>31</v>
      </c>
      <c r="B1928">
        <v>2018</v>
      </c>
      <c r="C1928">
        <v>2</v>
      </c>
      <c r="D1928" t="s">
        <v>176</v>
      </c>
      <c r="E1928" t="s">
        <v>349</v>
      </c>
      <c r="F1928" t="s">
        <v>40</v>
      </c>
      <c r="G1928" t="s">
        <v>35</v>
      </c>
      <c r="H1928" s="4">
        <v>18</v>
      </c>
      <c r="I1928" t="str">
        <f t="shared" si="30"/>
        <v>Macrodon ancylodonBangamary</v>
      </c>
    </row>
    <row r="1929" spans="1:9" x14ac:dyDescent="0.35">
      <c r="A1929">
        <v>31</v>
      </c>
      <c r="B1929">
        <v>2018</v>
      </c>
      <c r="C1929">
        <v>2</v>
      </c>
      <c r="D1929" t="s">
        <v>176</v>
      </c>
      <c r="E1929" t="s">
        <v>349</v>
      </c>
      <c r="F1929" t="s">
        <v>40</v>
      </c>
      <c r="G1929" t="s">
        <v>35</v>
      </c>
      <c r="H1929" s="4">
        <v>12</v>
      </c>
      <c r="I1929" t="str">
        <f t="shared" si="30"/>
        <v>Macrodon ancylodonBangamary</v>
      </c>
    </row>
    <row r="1930" spans="1:9" x14ac:dyDescent="0.35">
      <c r="A1930">
        <v>31</v>
      </c>
      <c r="B1930">
        <v>2018</v>
      </c>
      <c r="C1930">
        <v>2</v>
      </c>
      <c r="D1930" t="s">
        <v>176</v>
      </c>
      <c r="E1930" t="s">
        <v>349</v>
      </c>
      <c r="F1930" t="s">
        <v>40</v>
      </c>
      <c r="G1930" t="s">
        <v>35</v>
      </c>
      <c r="H1930" s="4">
        <v>14</v>
      </c>
      <c r="I1930" t="str">
        <f t="shared" si="30"/>
        <v>Macrodon ancylodonBangamary</v>
      </c>
    </row>
    <row r="1931" spans="1:9" x14ac:dyDescent="0.35">
      <c r="A1931">
        <v>31</v>
      </c>
      <c r="B1931">
        <v>2018</v>
      </c>
      <c r="C1931">
        <v>2</v>
      </c>
      <c r="D1931" t="s">
        <v>176</v>
      </c>
      <c r="E1931" t="s">
        <v>349</v>
      </c>
      <c r="F1931" t="s">
        <v>40</v>
      </c>
      <c r="G1931" t="s">
        <v>35</v>
      </c>
      <c r="H1931" s="4">
        <v>11</v>
      </c>
      <c r="I1931" t="str">
        <f t="shared" si="30"/>
        <v>Macrodon ancylodonBangamary</v>
      </c>
    </row>
    <row r="1932" spans="1:9" x14ac:dyDescent="0.35">
      <c r="A1932">
        <v>31</v>
      </c>
      <c r="B1932">
        <v>2018</v>
      </c>
      <c r="C1932">
        <v>2</v>
      </c>
      <c r="D1932" t="s">
        <v>176</v>
      </c>
      <c r="E1932" t="s">
        <v>349</v>
      </c>
      <c r="F1932" t="s">
        <v>40</v>
      </c>
      <c r="G1932" t="s">
        <v>35</v>
      </c>
      <c r="H1932" s="4">
        <v>13</v>
      </c>
      <c r="I1932" t="str">
        <f t="shared" si="30"/>
        <v>Macrodon ancylodonBangamary</v>
      </c>
    </row>
    <row r="1933" spans="1:9" x14ac:dyDescent="0.35">
      <c r="A1933">
        <v>31</v>
      </c>
      <c r="B1933">
        <v>2018</v>
      </c>
      <c r="C1933">
        <v>2</v>
      </c>
      <c r="D1933" t="s">
        <v>176</v>
      </c>
      <c r="E1933" t="s">
        <v>349</v>
      </c>
      <c r="F1933" t="s">
        <v>40</v>
      </c>
      <c r="G1933" t="s">
        <v>35</v>
      </c>
      <c r="H1933" s="4">
        <v>14</v>
      </c>
      <c r="I1933" t="str">
        <f t="shared" si="30"/>
        <v>Macrodon ancylodonBangamary</v>
      </c>
    </row>
    <row r="1934" spans="1:9" x14ac:dyDescent="0.35">
      <c r="A1934">
        <v>31</v>
      </c>
      <c r="B1934">
        <v>2018</v>
      </c>
      <c r="C1934">
        <v>2</v>
      </c>
      <c r="D1934" t="s">
        <v>176</v>
      </c>
      <c r="E1934" t="s">
        <v>349</v>
      </c>
      <c r="F1934" t="s">
        <v>40</v>
      </c>
      <c r="G1934" t="s">
        <v>35</v>
      </c>
      <c r="H1934" s="4">
        <v>15</v>
      </c>
      <c r="I1934" t="str">
        <f t="shared" si="30"/>
        <v>Macrodon ancylodonBangamary</v>
      </c>
    </row>
    <row r="1935" spans="1:9" x14ac:dyDescent="0.35">
      <c r="A1935">
        <v>31</v>
      </c>
      <c r="B1935">
        <v>2018</v>
      </c>
      <c r="C1935">
        <v>2</v>
      </c>
      <c r="D1935" t="s">
        <v>176</v>
      </c>
      <c r="E1935" t="s">
        <v>349</v>
      </c>
      <c r="F1935" t="s">
        <v>40</v>
      </c>
      <c r="G1935" t="s">
        <v>35</v>
      </c>
      <c r="H1935" s="4">
        <v>12</v>
      </c>
      <c r="I1935" t="str">
        <f t="shared" si="30"/>
        <v>Macrodon ancylodonBangamary</v>
      </c>
    </row>
    <row r="1936" spans="1:9" x14ac:dyDescent="0.35">
      <c r="A1936">
        <v>31</v>
      </c>
      <c r="B1936">
        <v>2018</v>
      </c>
      <c r="C1936">
        <v>2</v>
      </c>
      <c r="D1936" t="s">
        <v>176</v>
      </c>
      <c r="E1936" t="s">
        <v>349</v>
      </c>
      <c r="F1936" t="s">
        <v>40</v>
      </c>
      <c r="G1936" t="s">
        <v>35</v>
      </c>
      <c r="H1936" s="4">
        <v>16</v>
      </c>
      <c r="I1936" t="str">
        <f t="shared" si="30"/>
        <v>Macrodon ancylodonBangamary</v>
      </c>
    </row>
    <row r="1937" spans="1:9" x14ac:dyDescent="0.35">
      <c r="A1937">
        <v>31</v>
      </c>
      <c r="B1937">
        <v>2018</v>
      </c>
      <c r="C1937">
        <v>2</v>
      </c>
      <c r="D1937" t="s">
        <v>176</v>
      </c>
      <c r="E1937" t="s">
        <v>349</v>
      </c>
      <c r="F1937" t="s">
        <v>40</v>
      </c>
      <c r="G1937" t="s">
        <v>35</v>
      </c>
      <c r="H1937" s="4">
        <v>21</v>
      </c>
      <c r="I1937" t="str">
        <f t="shared" si="30"/>
        <v>Macrodon ancylodonBangamary</v>
      </c>
    </row>
    <row r="1938" spans="1:9" x14ac:dyDescent="0.35">
      <c r="A1938">
        <v>31</v>
      </c>
      <c r="B1938">
        <v>2018</v>
      </c>
      <c r="C1938">
        <v>2</v>
      </c>
      <c r="D1938" t="s">
        <v>176</v>
      </c>
      <c r="E1938" t="s">
        <v>349</v>
      </c>
      <c r="F1938" t="s">
        <v>40</v>
      </c>
      <c r="G1938" t="s">
        <v>35</v>
      </c>
      <c r="H1938" s="4">
        <v>18</v>
      </c>
      <c r="I1938" t="str">
        <f t="shared" si="30"/>
        <v>Macrodon ancylodonBangamary</v>
      </c>
    </row>
    <row r="1939" spans="1:9" x14ac:dyDescent="0.35">
      <c r="A1939">
        <v>31</v>
      </c>
      <c r="B1939">
        <v>2018</v>
      </c>
      <c r="C1939">
        <v>2</v>
      </c>
      <c r="D1939" t="s">
        <v>176</v>
      </c>
      <c r="E1939" t="s">
        <v>349</v>
      </c>
      <c r="F1939" t="s">
        <v>40</v>
      </c>
      <c r="G1939" t="s">
        <v>35</v>
      </c>
      <c r="H1939" s="4">
        <v>17</v>
      </c>
      <c r="I1939" t="str">
        <f t="shared" si="30"/>
        <v>Macrodon ancylodonBangamary</v>
      </c>
    </row>
    <row r="1940" spans="1:9" x14ac:dyDescent="0.35">
      <c r="A1940">
        <v>31</v>
      </c>
      <c r="B1940">
        <v>2018</v>
      </c>
      <c r="C1940">
        <v>2</v>
      </c>
      <c r="D1940" t="s">
        <v>176</v>
      </c>
      <c r="E1940" t="s">
        <v>349</v>
      </c>
      <c r="F1940" t="s">
        <v>40</v>
      </c>
      <c r="G1940" t="s">
        <v>35</v>
      </c>
      <c r="H1940" s="4">
        <v>14</v>
      </c>
      <c r="I1940" t="str">
        <f t="shared" si="30"/>
        <v>Macrodon ancylodonBangamary</v>
      </c>
    </row>
    <row r="1941" spans="1:9" x14ac:dyDescent="0.35">
      <c r="A1941">
        <v>31</v>
      </c>
      <c r="B1941">
        <v>2018</v>
      </c>
      <c r="C1941">
        <v>2</v>
      </c>
      <c r="D1941" t="s">
        <v>176</v>
      </c>
      <c r="E1941" t="s">
        <v>349</v>
      </c>
      <c r="F1941" t="s">
        <v>40</v>
      </c>
      <c r="G1941" t="s">
        <v>35</v>
      </c>
      <c r="H1941" s="4">
        <v>13</v>
      </c>
      <c r="I1941" t="str">
        <f t="shared" si="30"/>
        <v>Macrodon ancylodonBangamary</v>
      </c>
    </row>
    <row r="1942" spans="1:9" x14ac:dyDescent="0.35">
      <c r="A1942">
        <v>31</v>
      </c>
      <c r="B1942">
        <v>2018</v>
      </c>
      <c r="C1942">
        <v>2</v>
      </c>
      <c r="D1942" t="s">
        <v>176</v>
      </c>
      <c r="E1942" t="s">
        <v>349</v>
      </c>
      <c r="F1942" t="s">
        <v>40</v>
      </c>
      <c r="G1942" t="s">
        <v>35</v>
      </c>
      <c r="H1942" s="4">
        <v>15</v>
      </c>
      <c r="I1942" t="str">
        <f t="shared" si="30"/>
        <v>Macrodon ancylodonBangamary</v>
      </c>
    </row>
    <row r="1943" spans="1:9" x14ac:dyDescent="0.35">
      <c r="A1943">
        <v>31</v>
      </c>
      <c r="B1943">
        <v>2018</v>
      </c>
      <c r="C1943">
        <v>2</v>
      </c>
      <c r="D1943" t="s">
        <v>176</v>
      </c>
      <c r="E1943" t="s">
        <v>349</v>
      </c>
      <c r="F1943" t="s">
        <v>40</v>
      </c>
      <c r="G1943" t="s">
        <v>35</v>
      </c>
      <c r="H1943" s="4">
        <v>16</v>
      </c>
      <c r="I1943" t="str">
        <f t="shared" si="30"/>
        <v>Macrodon ancylodonBangamary</v>
      </c>
    </row>
    <row r="1944" spans="1:9" x14ac:dyDescent="0.35">
      <c r="A1944">
        <v>31</v>
      </c>
      <c r="B1944">
        <v>2018</v>
      </c>
      <c r="C1944">
        <v>2</v>
      </c>
      <c r="D1944" t="s">
        <v>176</v>
      </c>
      <c r="E1944" t="s">
        <v>349</v>
      </c>
      <c r="F1944" t="s">
        <v>40</v>
      </c>
      <c r="G1944" t="s">
        <v>35</v>
      </c>
      <c r="H1944" s="4">
        <v>13</v>
      </c>
      <c r="I1944" t="str">
        <f t="shared" si="30"/>
        <v>Macrodon ancylodonBangamary</v>
      </c>
    </row>
    <row r="1945" spans="1:9" x14ac:dyDescent="0.35">
      <c r="A1945">
        <v>31</v>
      </c>
      <c r="B1945">
        <v>2018</v>
      </c>
      <c r="C1945">
        <v>2</v>
      </c>
      <c r="D1945" t="s">
        <v>176</v>
      </c>
      <c r="E1945" t="s">
        <v>349</v>
      </c>
      <c r="F1945" t="s">
        <v>40</v>
      </c>
      <c r="G1945" t="s">
        <v>35</v>
      </c>
      <c r="H1945" s="4">
        <v>14</v>
      </c>
      <c r="I1945" t="str">
        <f t="shared" si="30"/>
        <v>Macrodon ancylodonBangamary</v>
      </c>
    </row>
    <row r="1946" spans="1:9" x14ac:dyDescent="0.35">
      <c r="A1946">
        <v>31</v>
      </c>
      <c r="B1946">
        <v>2018</v>
      </c>
      <c r="C1946">
        <v>2</v>
      </c>
      <c r="D1946" t="s">
        <v>176</v>
      </c>
      <c r="E1946" t="s">
        <v>349</v>
      </c>
      <c r="F1946" t="s">
        <v>40</v>
      </c>
      <c r="G1946" t="s">
        <v>35</v>
      </c>
      <c r="H1946" s="4">
        <v>13</v>
      </c>
      <c r="I1946" t="str">
        <f t="shared" si="30"/>
        <v>Macrodon ancylodonBangamary</v>
      </c>
    </row>
    <row r="1947" spans="1:9" x14ac:dyDescent="0.35">
      <c r="A1947">
        <v>31</v>
      </c>
      <c r="B1947">
        <v>2018</v>
      </c>
      <c r="C1947">
        <v>2</v>
      </c>
      <c r="D1947" t="s">
        <v>176</v>
      </c>
      <c r="E1947" t="s">
        <v>349</v>
      </c>
      <c r="F1947" t="s">
        <v>40</v>
      </c>
      <c r="G1947" t="s">
        <v>35</v>
      </c>
      <c r="H1947" s="4">
        <v>14</v>
      </c>
      <c r="I1947" t="str">
        <f t="shared" si="30"/>
        <v>Macrodon ancylodonBangamary</v>
      </c>
    </row>
    <row r="1948" spans="1:9" x14ac:dyDescent="0.35">
      <c r="A1948">
        <v>31</v>
      </c>
      <c r="B1948">
        <v>2018</v>
      </c>
      <c r="C1948">
        <v>2</v>
      </c>
      <c r="D1948" t="s">
        <v>176</v>
      </c>
      <c r="E1948" t="s">
        <v>349</v>
      </c>
      <c r="F1948" t="s">
        <v>40</v>
      </c>
      <c r="G1948" t="s">
        <v>35</v>
      </c>
      <c r="H1948" s="4">
        <v>15</v>
      </c>
      <c r="I1948" t="str">
        <f t="shared" si="30"/>
        <v>Macrodon ancylodonBangamary</v>
      </c>
    </row>
    <row r="1949" spans="1:9" x14ac:dyDescent="0.35">
      <c r="A1949">
        <v>31</v>
      </c>
      <c r="B1949">
        <v>2018</v>
      </c>
      <c r="C1949">
        <v>2</v>
      </c>
      <c r="D1949" t="s">
        <v>176</v>
      </c>
      <c r="E1949" t="s">
        <v>349</v>
      </c>
      <c r="F1949" t="s">
        <v>40</v>
      </c>
      <c r="G1949" t="s">
        <v>35</v>
      </c>
      <c r="H1949" s="4">
        <v>10</v>
      </c>
      <c r="I1949" t="str">
        <f t="shared" si="30"/>
        <v>Macrodon ancylodonBangamary</v>
      </c>
    </row>
    <row r="1950" spans="1:9" x14ac:dyDescent="0.35">
      <c r="A1950">
        <v>31</v>
      </c>
      <c r="B1950">
        <v>2018</v>
      </c>
      <c r="C1950">
        <v>2</v>
      </c>
      <c r="D1950" t="s">
        <v>176</v>
      </c>
      <c r="E1950" t="s">
        <v>349</v>
      </c>
      <c r="F1950" t="s">
        <v>40</v>
      </c>
      <c r="G1950" t="s">
        <v>35</v>
      </c>
      <c r="H1950" s="4">
        <v>10</v>
      </c>
      <c r="I1950" t="str">
        <f t="shared" si="30"/>
        <v>Macrodon ancylodonBangamary</v>
      </c>
    </row>
    <row r="1951" spans="1:9" x14ac:dyDescent="0.35">
      <c r="A1951">
        <v>31</v>
      </c>
      <c r="B1951">
        <v>2018</v>
      </c>
      <c r="C1951">
        <v>2</v>
      </c>
      <c r="D1951" t="s">
        <v>176</v>
      </c>
      <c r="E1951" t="s">
        <v>349</v>
      </c>
      <c r="F1951" t="s">
        <v>40</v>
      </c>
      <c r="G1951" t="s">
        <v>35</v>
      </c>
      <c r="H1951" s="4">
        <v>10</v>
      </c>
      <c r="I1951" t="str">
        <f t="shared" si="30"/>
        <v>Macrodon ancylodonBangamary</v>
      </c>
    </row>
    <row r="1952" spans="1:9" x14ac:dyDescent="0.35">
      <c r="A1952">
        <v>31</v>
      </c>
      <c r="B1952">
        <v>2018</v>
      </c>
      <c r="C1952">
        <v>2</v>
      </c>
      <c r="D1952" t="s">
        <v>176</v>
      </c>
      <c r="E1952" t="s">
        <v>349</v>
      </c>
      <c r="F1952" t="s">
        <v>40</v>
      </c>
      <c r="G1952" t="s">
        <v>35</v>
      </c>
      <c r="H1952" s="4">
        <v>13</v>
      </c>
      <c r="I1952" t="str">
        <f t="shared" si="30"/>
        <v>Macrodon ancylodonBangamary</v>
      </c>
    </row>
    <row r="1953" spans="1:9" x14ac:dyDescent="0.35">
      <c r="A1953">
        <v>31</v>
      </c>
      <c r="B1953">
        <v>2018</v>
      </c>
      <c r="C1953">
        <v>2</v>
      </c>
      <c r="D1953" t="s">
        <v>176</v>
      </c>
      <c r="E1953" t="s">
        <v>349</v>
      </c>
      <c r="F1953" t="s">
        <v>40</v>
      </c>
      <c r="G1953" t="s">
        <v>35</v>
      </c>
      <c r="H1953" s="4">
        <v>13</v>
      </c>
      <c r="I1953" t="str">
        <f t="shared" si="30"/>
        <v>Macrodon ancylodonBangamary</v>
      </c>
    </row>
    <row r="1954" spans="1:9" x14ac:dyDescent="0.35">
      <c r="A1954">
        <v>31</v>
      </c>
      <c r="B1954">
        <v>2018</v>
      </c>
      <c r="C1954">
        <v>2</v>
      </c>
      <c r="D1954" t="s">
        <v>176</v>
      </c>
      <c r="E1954" t="s">
        <v>349</v>
      </c>
      <c r="F1954" t="s">
        <v>40</v>
      </c>
      <c r="G1954" t="s">
        <v>35</v>
      </c>
      <c r="H1954" s="4">
        <v>12</v>
      </c>
      <c r="I1954" t="str">
        <f t="shared" si="30"/>
        <v>Macrodon ancylodonBangamary</v>
      </c>
    </row>
    <row r="1955" spans="1:9" x14ac:dyDescent="0.35">
      <c r="A1955">
        <v>31</v>
      </c>
      <c r="B1955">
        <v>2018</v>
      </c>
      <c r="C1955">
        <v>2</v>
      </c>
      <c r="D1955" t="s">
        <v>176</v>
      </c>
      <c r="E1955" t="s">
        <v>349</v>
      </c>
      <c r="F1955" t="s">
        <v>40</v>
      </c>
      <c r="G1955" t="s">
        <v>35</v>
      </c>
      <c r="H1955" s="4">
        <v>9</v>
      </c>
      <c r="I1955" t="str">
        <f t="shared" si="30"/>
        <v>Macrodon ancylodonBangamary</v>
      </c>
    </row>
    <row r="1956" spans="1:9" x14ac:dyDescent="0.35">
      <c r="A1956">
        <v>31</v>
      </c>
      <c r="B1956">
        <v>2018</v>
      </c>
      <c r="C1956">
        <v>2</v>
      </c>
      <c r="D1956" t="s">
        <v>176</v>
      </c>
      <c r="E1956" t="s">
        <v>349</v>
      </c>
      <c r="F1956" t="s">
        <v>6</v>
      </c>
      <c r="G1956" t="s">
        <v>37</v>
      </c>
      <c r="H1956" s="4">
        <v>13</v>
      </c>
      <c r="I1956" t="str">
        <f t="shared" si="30"/>
        <v>Symphurus plagusiaTongue fish</v>
      </c>
    </row>
    <row r="1957" spans="1:9" x14ac:dyDescent="0.35">
      <c r="A1957">
        <v>31</v>
      </c>
      <c r="B1957">
        <v>2018</v>
      </c>
      <c r="C1957">
        <v>2</v>
      </c>
      <c r="D1957" t="s">
        <v>176</v>
      </c>
      <c r="E1957" t="s">
        <v>349</v>
      </c>
      <c r="F1957" t="s">
        <v>6</v>
      </c>
      <c r="G1957" t="s">
        <v>37</v>
      </c>
      <c r="H1957" s="4">
        <v>14</v>
      </c>
      <c r="I1957" t="str">
        <f t="shared" si="30"/>
        <v>Symphurus plagusiaTongue fish</v>
      </c>
    </row>
    <row r="1958" spans="1:9" x14ac:dyDescent="0.35">
      <c r="A1958">
        <v>31</v>
      </c>
      <c r="B1958">
        <v>2018</v>
      </c>
      <c r="C1958">
        <v>2</v>
      </c>
      <c r="D1958" t="s">
        <v>176</v>
      </c>
      <c r="E1958" t="s">
        <v>349</v>
      </c>
      <c r="F1958" t="s">
        <v>6</v>
      </c>
      <c r="G1958" t="s">
        <v>37</v>
      </c>
      <c r="H1958" s="4">
        <v>15</v>
      </c>
      <c r="I1958" t="str">
        <f t="shared" si="30"/>
        <v>Symphurus plagusiaTongue fish</v>
      </c>
    </row>
    <row r="1959" spans="1:9" x14ac:dyDescent="0.35">
      <c r="A1959">
        <v>31</v>
      </c>
      <c r="B1959">
        <v>2018</v>
      </c>
      <c r="C1959">
        <v>2</v>
      </c>
      <c r="D1959" t="s">
        <v>176</v>
      </c>
      <c r="E1959" t="s">
        <v>349</v>
      </c>
      <c r="F1959" t="s">
        <v>6</v>
      </c>
      <c r="G1959" t="s">
        <v>37</v>
      </c>
      <c r="H1959" s="4">
        <v>14</v>
      </c>
      <c r="I1959" t="str">
        <f t="shared" si="30"/>
        <v>Symphurus plagusiaTongue fish</v>
      </c>
    </row>
    <row r="1960" spans="1:9" x14ac:dyDescent="0.35">
      <c r="A1960">
        <v>31</v>
      </c>
      <c r="B1960">
        <v>2018</v>
      </c>
      <c r="C1960">
        <v>2</v>
      </c>
      <c r="D1960" t="s">
        <v>176</v>
      </c>
      <c r="E1960" t="s">
        <v>349</v>
      </c>
      <c r="F1960" t="s">
        <v>6</v>
      </c>
      <c r="G1960" t="s">
        <v>37</v>
      </c>
      <c r="H1960" s="4">
        <v>15</v>
      </c>
      <c r="I1960" t="str">
        <f t="shared" si="30"/>
        <v>Symphurus plagusiaTongue fish</v>
      </c>
    </row>
    <row r="1961" spans="1:9" x14ac:dyDescent="0.35">
      <c r="A1961">
        <v>31</v>
      </c>
      <c r="B1961">
        <v>2018</v>
      </c>
      <c r="C1961">
        <v>2</v>
      </c>
      <c r="D1961" t="s">
        <v>176</v>
      </c>
      <c r="E1961" t="s">
        <v>349</v>
      </c>
      <c r="F1961" t="s">
        <v>6</v>
      </c>
      <c r="G1961" t="s">
        <v>37</v>
      </c>
      <c r="H1961" s="4">
        <v>12</v>
      </c>
      <c r="I1961" t="str">
        <f t="shared" si="30"/>
        <v>Symphurus plagusiaTongue fish</v>
      </c>
    </row>
    <row r="1962" spans="1:9" x14ac:dyDescent="0.35">
      <c r="A1962">
        <v>31</v>
      </c>
      <c r="B1962">
        <v>2018</v>
      </c>
      <c r="C1962">
        <v>2</v>
      </c>
      <c r="D1962" t="s">
        <v>176</v>
      </c>
      <c r="E1962" t="s">
        <v>349</v>
      </c>
      <c r="F1962" t="s">
        <v>6</v>
      </c>
      <c r="G1962" t="s">
        <v>37</v>
      </c>
      <c r="H1962" s="4">
        <v>15</v>
      </c>
      <c r="I1962" t="str">
        <f t="shared" si="30"/>
        <v>Symphurus plagusiaTongue fish</v>
      </c>
    </row>
    <row r="1963" spans="1:9" x14ac:dyDescent="0.35">
      <c r="A1963">
        <v>31</v>
      </c>
      <c r="B1963">
        <v>2018</v>
      </c>
      <c r="C1963">
        <v>2</v>
      </c>
      <c r="D1963" t="s">
        <v>176</v>
      </c>
      <c r="E1963" t="s">
        <v>349</v>
      </c>
      <c r="F1963" t="s">
        <v>6</v>
      </c>
      <c r="G1963" t="s">
        <v>37</v>
      </c>
      <c r="H1963" s="4">
        <v>9</v>
      </c>
      <c r="I1963" t="str">
        <f t="shared" si="30"/>
        <v>Symphurus plagusiaTongue fish</v>
      </c>
    </row>
    <row r="1964" spans="1:9" x14ac:dyDescent="0.35">
      <c r="A1964">
        <v>31</v>
      </c>
      <c r="B1964">
        <v>2018</v>
      </c>
      <c r="C1964">
        <v>2</v>
      </c>
      <c r="D1964" t="s">
        <v>176</v>
      </c>
      <c r="E1964" t="s">
        <v>349</v>
      </c>
      <c r="F1964" t="s">
        <v>6</v>
      </c>
      <c r="G1964" t="s">
        <v>37</v>
      </c>
      <c r="H1964" s="4">
        <v>10</v>
      </c>
      <c r="I1964" t="str">
        <f t="shared" si="30"/>
        <v>Symphurus plagusiaTongue fish</v>
      </c>
    </row>
    <row r="1965" spans="1:9" x14ac:dyDescent="0.35">
      <c r="A1965">
        <v>31</v>
      </c>
      <c r="B1965">
        <v>2018</v>
      </c>
      <c r="C1965">
        <v>2</v>
      </c>
      <c r="D1965" t="s">
        <v>176</v>
      </c>
      <c r="E1965" t="s">
        <v>349</v>
      </c>
      <c r="F1965" t="s">
        <v>6</v>
      </c>
      <c r="G1965" t="s">
        <v>37</v>
      </c>
      <c r="H1965" s="4">
        <v>14</v>
      </c>
      <c r="I1965" t="str">
        <f t="shared" si="30"/>
        <v>Symphurus plagusiaTongue fish</v>
      </c>
    </row>
    <row r="1966" spans="1:9" x14ac:dyDescent="0.35">
      <c r="A1966">
        <v>31</v>
      </c>
      <c r="B1966">
        <v>2018</v>
      </c>
      <c r="C1966">
        <v>2</v>
      </c>
      <c r="D1966" t="s">
        <v>176</v>
      </c>
      <c r="E1966" t="s">
        <v>349</v>
      </c>
      <c r="F1966" t="s">
        <v>6</v>
      </c>
      <c r="G1966" t="s">
        <v>37</v>
      </c>
      <c r="H1966" s="4">
        <v>15</v>
      </c>
      <c r="I1966" t="str">
        <f t="shared" si="30"/>
        <v>Symphurus plagusiaTongue fish</v>
      </c>
    </row>
    <row r="1967" spans="1:9" x14ac:dyDescent="0.35">
      <c r="A1967">
        <v>31</v>
      </c>
      <c r="B1967">
        <v>2018</v>
      </c>
      <c r="C1967">
        <v>2</v>
      </c>
      <c r="D1967" t="s">
        <v>176</v>
      </c>
      <c r="E1967" t="s">
        <v>349</v>
      </c>
      <c r="F1967" t="s">
        <v>6</v>
      </c>
      <c r="G1967" t="s">
        <v>37</v>
      </c>
      <c r="H1967" s="4">
        <v>13</v>
      </c>
      <c r="I1967" t="str">
        <f t="shared" si="30"/>
        <v>Symphurus plagusiaTongue fish</v>
      </c>
    </row>
    <row r="1968" spans="1:9" x14ac:dyDescent="0.35">
      <c r="A1968">
        <v>31</v>
      </c>
      <c r="B1968">
        <v>2018</v>
      </c>
      <c r="C1968">
        <v>2</v>
      </c>
      <c r="D1968" t="s">
        <v>176</v>
      </c>
      <c r="E1968" t="s">
        <v>349</v>
      </c>
      <c r="F1968" t="s">
        <v>6</v>
      </c>
      <c r="G1968" t="s">
        <v>37</v>
      </c>
      <c r="H1968" s="4">
        <v>13</v>
      </c>
      <c r="I1968" t="str">
        <f t="shared" si="30"/>
        <v>Symphurus plagusiaTongue fish</v>
      </c>
    </row>
    <row r="1969" spans="1:9" x14ac:dyDescent="0.35">
      <c r="A1969">
        <v>31</v>
      </c>
      <c r="B1969">
        <v>2018</v>
      </c>
      <c r="C1969">
        <v>2</v>
      </c>
      <c r="D1969" t="s">
        <v>176</v>
      </c>
      <c r="E1969" t="s">
        <v>349</v>
      </c>
      <c r="F1969" t="s">
        <v>6</v>
      </c>
      <c r="G1969" t="s">
        <v>37</v>
      </c>
      <c r="H1969" s="4">
        <v>14</v>
      </c>
      <c r="I1969" t="str">
        <f t="shared" si="30"/>
        <v>Symphurus plagusiaTongue fish</v>
      </c>
    </row>
    <row r="1970" spans="1:9" x14ac:dyDescent="0.35">
      <c r="A1970">
        <v>31</v>
      </c>
      <c r="B1970">
        <v>2018</v>
      </c>
      <c r="C1970">
        <v>2</v>
      </c>
      <c r="D1970" t="s">
        <v>176</v>
      </c>
      <c r="E1970" t="s">
        <v>349</v>
      </c>
      <c r="F1970" t="s">
        <v>6</v>
      </c>
      <c r="G1970" t="s">
        <v>37</v>
      </c>
      <c r="H1970" s="4">
        <v>9</v>
      </c>
      <c r="I1970" t="str">
        <f t="shared" si="30"/>
        <v>Symphurus plagusiaTongue fish</v>
      </c>
    </row>
    <row r="1971" spans="1:9" x14ac:dyDescent="0.35">
      <c r="A1971">
        <v>31</v>
      </c>
      <c r="B1971">
        <v>2018</v>
      </c>
      <c r="C1971">
        <v>2</v>
      </c>
      <c r="D1971" t="s">
        <v>176</v>
      </c>
      <c r="E1971" t="s">
        <v>349</v>
      </c>
      <c r="F1971" t="s">
        <v>6</v>
      </c>
      <c r="G1971" t="s">
        <v>37</v>
      </c>
      <c r="H1971" s="4">
        <v>14</v>
      </c>
      <c r="I1971" t="str">
        <f t="shared" si="30"/>
        <v>Symphurus plagusiaTongue fish</v>
      </c>
    </row>
    <row r="1972" spans="1:9" x14ac:dyDescent="0.35">
      <c r="A1972">
        <v>31</v>
      </c>
      <c r="B1972">
        <v>2018</v>
      </c>
      <c r="C1972">
        <v>2</v>
      </c>
      <c r="D1972" t="s">
        <v>176</v>
      </c>
      <c r="E1972" t="s">
        <v>349</v>
      </c>
      <c r="F1972" t="s">
        <v>6</v>
      </c>
      <c r="G1972" t="s">
        <v>37</v>
      </c>
      <c r="H1972" s="4">
        <v>14</v>
      </c>
      <c r="I1972" t="str">
        <f t="shared" si="30"/>
        <v>Symphurus plagusiaTongue fish</v>
      </c>
    </row>
    <row r="1973" spans="1:9" x14ac:dyDescent="0.35">
      <c r="A1973">
        <v>31</v>
      </c>
      <c r="B1973">
        <v>2018</v>
      </c>
      <c r="C1973">
        <v>2</v>
      </c>
      <c r="D1973" t="s">
        <v>176</v>
      </c>
      <c r="E1973" t="s">
        <v>349</v>
      </c>
      <c r="F1973" t="s">
        <v>6</v>
      </c>
      <c r="G1973" t="s">
        <v>37</v>
      </c>
      <c r="H1973" s="4">
        <v>14</v>
      </c>
      <c r="I1973" t="str">
        <f t="shared" si="30"/>
        <v>Symphurus plagusiaTongue fish</v>
      </c>
    </row>
    <row r="1974" spans="1:9" x14ac:dyDescent="0.35">
      <c r="A1974">
        <v>31</v>
      </c>
      <c r="B1974">
        <v>2018</v>
      </c>
      <c r="C1974">
        <v>2</v>
      </c>
      <c r="D1974" t="s">
        <v>176</v>
      </c>
      <c r="E1974" t="s">
        <v>349</v>
      </c>
      <c r="F1974" t="s">
        <v>6</v>
      </c>
      <c r="G1974" t="s">
        <v>37</v>
      </c>
      <c r="H1974" s="4">
        <v>13</v>
      </c>
      <c r="I1974" t="str">
        <f t="shared" si="30"/>
        <v>Symphurus plagusiaTongue fish</v>
      </c>
    </row>
    <row r="1975" spans="1:9" x14ac:dyDescent="0.35">
      <c r="A1975">
        <v>31</v>
      </c>
      <c r="B1975">
        <v>2018</v>
      </c>
      <c r="C1975">
        <v>2</v>
      </c>
      <c r="D1975" t="s">
        <v>176</v>
      </c>
      <c r="E1975" t="s">
        <v>349</v>
      </c>
      <c r="F1975" t="s">
        <v>6</v>
      </c>
      <c r="G1975" t="s">
        <v>37</v>
      </c>
      <c r="H1975" s="4">
        <v>15</v>
      </c>
      <c r="I1975" t="str">
        <f t="shared" si="30"/>
        <v>Symphurus plagusiaTongue fish</v>
      </c>
    </row>
    <row r="1976" spans="1:9" x14ac:dyDescent="0.35">
      <c r="A1976">
        <v>31</v>
      </c>
      <c r="B1976">
        <v>2018</v>
      </c>
      <c r="C1976">
        <v>2</v>
      </c>
      <c r="D1976" t="s">
        <v>176</v>
      </c>
      <c r="E1976" t="s">
        <v>349</v>
      </c>
      <c r="F1976" t="s">
        <v>6</v>
      </c>
      <c r="G1976" t="s">
        <v>37</v>
      </c>
      <c r="H1976" s="4">
        <v>15</v>
      </c>
      <c r="I1976" t="str">
        <f t="shared" si="30"/>
        <v>Symphurus plagusiaTongue fish</v>
      </c>
    </row>
    <row r="1977" spans="1:9" x14ac:dyDescent="0.35">
      <c r="A1977">
        <v>31</v>
      </c>
      <c r="B1977">
        <v>2018</v>
      </c>
      <c r="C1977">
        <v>2</v>
      </c>
      <c r="D1977" t="s">
        <v>176</v>
      </c>
      <c r="E1977" t="s">
        <v>349</v>
      </c>
      <c r="F1977" t="s">
        <v>6</v>
      </c>
      <c r="G1977" t="s">
        <v>37</v>
      </c>
      <c r="H1977" s="4">
        <v>15</v>
      </c>
      <c r="I1977" t="str">
        <f t="shared" si="30"/>
        <v>Symphurus plagusiaTongue fish</v>
      </c>
    </row>
    <row r="1978" spans="1:9" x14ac:dyDescent="0.35">
      <c r="A1978">
        <v>31</v>
      </c>
      <c r="B1978">
        <v>2018</v>
      </c>
      <c r="C1978">
        <v>2</v>
      </c>
      <c r="D1978" t="s">
        <v>176</v>
      </c>
      <c r="E1978" t="s">
        <v>349</v>
      </c>
      <c r="F1978" t="s">
        <v>6</v>
      </c>
      <c r="G1978" t="s">
        <v>37</v>
      </c>
      <c r="H1978" s="4">
        <v>16</v>
      </c>
      <c r="I1978" t="str">
        <f t="shared" si="30"/>
        <v>Symphurus plagusiaTongue fish</v>
      </c>
    </row>
    <row r="1979" spans="1:9" x14ac:dyDescent="0.35">
      <c r="A1979">
        <v>31</v>
      </c>
      <c r="B1979">
        <v>2018</v>
      </c>
      <c r="C1979">
        <v>2</v>
      </c>
      <c r="D1979" t="s">
        <v>176</v>
      </c>
      <c r="E1979" t="s">
        <v>349</v>
      </c>
      <c r="F1979" t="s">
        <v>6</v>
      </c>
      <c r="G1979" t="s">
        <v>37</v>
      </c>
      <c r="H1979" s="4">
        <v>14</v>
      </c>
      <c r="I1979" t="str">
        <f t="shared" si="30"/>
        <v>Symphurus plagusiaTongue fish</v>
      </c>
    </row>
    <row r="1980" spans="1:9" x14ac:dyDescent="0.35">
      <c r="A1980">
        <v>31</v>
      </c>
      <c r="B1980">
        <v>2018</v>
      </c>
      <c r="C1980">
        <v>2</v>
      </c>
      <c r="D1980" t="s">
        <v>176</v>
      </c>
      <c r="E1980" t="s">
        <v>349</v>
      </c>
      <c r="F1980" t="s">
        <v>6</v>
      </c>
      <c r="G1980" t="s">
        <v>37</v>
      </c>
      <c r="H1980" s="4">
        <v>11</v>
      </c>
      <c r="I1980" t="str">
        <f t="shared" si="30"/>
        <v>Symphurus plagusiaTongue fish</v>
      </c>
    </row>
    <row r="1981" spans="1:9" x14ac:dyDescent="0.35">
      <c r="A1981">
        <v>31</v>
      </c>
      <c r="B1981">
        <v>2018</v>
      </c>
      <c r="C1981">
        <v>2</v>
      </c>
      <c r="D1981" t="s">
        <v>176</v>
      </c>
      <c r="E1981" t="s">
        <v>349</v>
      </c>
      <c r="F1981" t="s">
        <v>6</v>
      </c>
      <c r="G1981" t="s">
        <v>37</v>
      </c>
      <c r="H1981" s="4">
        <v>15</v>
      </c>
      <c r="I1981" t="str">
        <f t="shared" si="30"/>
        <v>Symphurus plagusiaTongue fish</v>
      </c>
    </row>
    <row r="1982" spans="1:9" x14ac:dyDescent="0.35">
      <c r="A1982">
        <v>31</v>
      </c>
      <c r="B1982">
        <v>2018</v>
      </c>
      <c r="C1982">
        <v>2</v>
      </c>
      <c r="D1982" t="s">
        <v>176</v>
      </c>
      <c r="E1982" t="s">
        <v>349</v>
      </c>
      <c r="F1982" t="s">
        <v>6</v>
      </c>
      <c r="G1982" t="s">
        <v>37</v>
      </c>
      <c r="H1982" s="4">
        <v>14</v>
      </c>
      <c r="I1982" t="str">
        <f t="shared" si="30"/>
        <v>Symphurus plagusiaTongue fish</v>
      </c>
    </row>
    <row r="1983" spans="1:9" x14ac:dyDescent="0.35">
      <c r="A1983">
        <v>31</v>
      </c>
      <c r="B1983">
        <v>2018</v>
      </c>
      <c r="C1983">
        <v>2</v>
      </c>
      <c r="D1983" t="s">
        <v>176</v>
      </c>
      <c r="E1983" t="s">
        <v>349</v>
      </c>
      <c r="F1983" t="s">
        <v>6</v>
      </c>
      <c r="G1983" t="s">
        <v>37</v>
      </c>
      <c r="H1983" s="4">
        <v>16</v>
      </c>
      <c r="I1983" t="str">
        <f t="shared" si="30"/>
        <v>Symphurus plagusiaTongue fish</v>
      </c>
    </row>
    <row r="1984" spans="1:9" x14ac:dyDescent="0.35">
      <c r="A1984">
        <v>31</v>
      </c>
      <c r="B1984">
        <v>2018</v>
      </c>
      <c r="C1984">
        <v>2</v>
      </c>
      <c r="D1984" t="s">
        <v>176</v>
      </c>
      <c r="E1984" t="s">
        <v>349</v>
      </c>
      <c r="F1984" t="s">
        <v>6</v>
      </c>
      <c r="G1984" t="s">
        <v>37</v>
      </c>
      <c r="H1984" s="4">
        <v>14</v>
      </c>
      <c r="I1984" t="str">
        <f t="shared" si="30"/>
        <v>Symphurus plagusiaTongue fish</v>
      </c>
    </row>
    <row r="1985" spans="1:9" x14ac:dyDescent="0.35">
      <c r="A1985">
        <v>31</v>
      </c>
      <c r="B1985">
        <v>2018</v>
      </c>
      <c r="C1985">
        <v>2</v>
      </c>
      <c r="D1985" t="s">
        <v>176</v>
      </c>
      <c r="E1985" t="s">
        <v>349</v>
      </c>
      <c r="F1985" t="s">
        <v>6</v>
      </c>
      <c r="G1985" t="s">
        <v>37</v>
      </c>
      <c r="H1985" s="4">
        <v>8</v>
      </c>
      <c r="I1985" t="str">
        <f t="shared" si="30"/>
        <v>Symphurus plagusiaTongue fish</v>
      </c>
    </row>
    <row r="1986" spans="1:9" x14ac:dyDescent="0.35">
      <c r="A1986">
        <v>32</v>
      </c>
      <c r="B1986">
        <v>2018</v>
      </c>
      <c r="C1986">
        <v>3</v>
      </c>
      <c r="D1986" t="s">
        <v>173</v>
      </c>
      <c r="E1986" t="s">
        <v>349</v>
      </c>
      <c r="F1986" t="s">
        <v>15</v>
      </c>
      <c r="G1986" t="s">
        <v>16</v>
      </c>
      <c r="H1986" s="4">
        <v>23</v>
      </c>
      <c r="I1986" t="str">
        <f t="shared" ref="I1986:I2049" si="31">CONCATENATE(F1986,G1986)</f>
        <v>Nebris micropsButterfish</v>
      </c>
    </row>
    <row r="1987" spans="1:9" x14ac:dyDescent="0.35">
      <c r="A1987">
        <v>32</v>
      </c>
      <c r="B1987">
        <v>2018</v>
      </c>
      <c r="C1987">
        <v>3</v>
      </c>
      <c r="D1987" t="s">
        <v>173</v>
      </c>
      <c r="E1987" t="s">
        <v>349</v>
      </c>
      <c r="F1987" t="s">
        <v>15</v>
      </c>
      <c r="G1987" t="s">
        <v>16</v>
      </c>
      <c r="H1987" s="4">
        <v>27</v>
      </c>
      <c r="I1987" t="str">
        <f t="shared" si="31"/>
        <v>Nebris micropsButterfish</v>
      </c>
    </row>
    <row r="1988" spans="1:9" x14ac:dyDescent="0.35">
      <c r="A1988">
        <v>32</v>
      </c>
      <c r="B1988">
        <v>2018</v>
      </c>
      <c r="C1988">
        <v>3</v>
      </c>
      <c r="D1988" t="s">
        <v>173</v>
      </c>
      <c r="E1988" t="s">
        <v>349</v>
      </c>
      <c r="F1988" t="s">
        <v>15</v>
      </c>
      <c r="G1988" t="s">
        <v>16</v>
      </c>
      <c r="H1988" s="4">
        <v>30</v>
      </c>
      <c r="I1988" t="str">
        <f t="shared" si="31"/>
        <v>Nebris micropsButterfish</v>
      </c>
    </row>
    <row r="1989" spans="1:9" x14ac:dyDescent="0.35">
      <c r="A1989">
        <v>32</v>
      </c>
      <c r="B1989">
        <v>2018</v>
      </c>
      <c r="C1989">
        <v>3</v>
      </c>
      <c r="D1989" t="s">
        <v>173</v>
      </c>
      <c r="E1989" t="s">
        <v>349</v>
      </c>
      <c r="F1989" t="s">
        <v>15</v>
      </c>
      <c r="G1989" t="s">
        <v>16</v>
      </c>
      <c r="H1989" s="4">
        <v>26</v>
      </c>
      <c r="I1989" t="str">
        <f t="shared" si="31"/>
        <v>Nebris micropsButterfish</v>
      </c>
    </row>
    <row r="1990" spans="1:9" x14ac:dyDescent="0.35">
      <c r="A1990">
        <v>32</v>
      </c>
      <c r="B1990">
        <v>2018</v>
      </c>
      <c r="C1990">
        <v>3</v>
      </c>
      <c r="D1990" t="s">
        <v>173</v>
      </c>
      <c r="E1990" t="s">
        <v>349</v>
      </c>
      <c r="F1990" t="s">
        <v>15</v>
      </c>
      <c r="G1990" t="s">
        <v>16</v>
      </c>
      <c r="H1990" s="4">
        <v>22</v>
      </c>
      <c r="I1990" t="str">
        <f t="shared" si="31"/>
        <v>Nebris micropsButterfish</v>
      </c>
    </row>
    <row r="1991" spans="1:9" x14ac:dyDescent="0.35">
      <c r="A1991">
        <v>32</v>
      </c>
      <c r="B1991">
        <v>2018</v>
      </c>
      <c r="C1991">
        <v>3</v>
      </c>
      <c r="D1991" t="s">
        <v>173</v>
      </c>
      <c r="E1991" t="s">
        <v>349</v>
      </c>
      <c r="F1991" t="s">
        <v>15</v>
      </c>
      <c r="G1991" t="s">
        <v>16</v>
      </c>
      <c r="H1991" s="4">
        <v>19</v>
      </c>
      <c r="I1991" t="str">
        <f t="shared" si="31"/>
        <v>Nebris micropsButterfish</v>
      </c>
    </row>
    <row r="1992" spans="1:9" x14ac:dyDescent="0.35">
      <c r="A1992">
        <v>32</v>
      </c>
      <c r="B1992">
        <v>2018</v>
      </c>
      <c r="C1992">
        <v>3</v>
      </c>
      <c r="D1992" t="s">
        <v>173</v>
      </c>
      <c r="E1992" t="s">
        <v>349</v>
      </c>
      <c r="F1992" t="s">
        <v>15</v>
      </c>
      <c r="G1992" t="s">
        <v>16</v>
      </c>
      <c r="H1992" s="4">
        <v>22</v>
      </c>
      <c r="I1992" t="str">
        <f t="shared" si="31"/>
        <v>Nebris micropsButterfish</v>
      </c>
    </row>
    <row r="1993" spans="1:9" x14ac:dyDescent="0.35">
      <c r="A1993">
        <v>32</v>
      </c>
      <c r="B1993">
        <v>2018</v>
      </c>
      <c r="C1993">
        <v>3</v>
      </c>
      <c r="D1993" t="s">
        <v>173</v>
      </c>
      <c r="E1993" t="s">
        <v>349</v>
      </c>
      <c r="F1993" t="s">
        <v>15</v>
      </c>
      <c r="G1993" t="s">
        <v>16</v>
      </c>
      <c r="H1993" s="4">
        <v>23</v>
      </c>
      <c r="I1993" t="str">
        <f t="shared" si="31"/>
        <v>Nebris micropsButterfish</v>
      </c>
    </row>
    <row r="1994" spans="1:9" x14ac:dyDescent="0.35">
      <c r="A1994">
        <v>32</v>
      </c>
      <c r="B1994">
        <v>2018</v>
      </c>
      <c r="C1994">
        <v>3</v>
      </c>
      <c r="D1994" t="s">
        <v>173</v>
      </c>
      <c r="E1994" t="s">
        <v>349</v>
      </c>
      <c r="F1994" t="s">
        <v>15</v>
      </c>
      <c r="G1994" t="s">
        <v>16</v>
      </c>
      <c r="H1994" s="4">
        <v>26</v>
      </c>
      <c r="I1994" t="str">
        <f t="shared" si="31"/>
        <v>Nebris micropsButterfish</v>
      </c>
    </row>
    <row r="1995" spans="1:9" x14ac:dyDescent="0.35">
      <c r="A1995">
        <v>32</v>
      </c>
      <c r="B1995">
        <v>2018</v>
      </c>
      <c r="C1995">
        <v>3</v>
      </c>
      <c r="D1995" t="s">
        <v>173</v>
      </c>
      <c r="E1995" t="s">
        <v>349</v>
      </c>
      <c r="F1995" t="s">
        <v>15</v>
      </c>
      <c r="G1995" t="s">
        <v>16</v>
      </c>
      <c r="H1995" s="4">
        <v>13</v>
      </c>
      <c r="I1995" t="str">
        <f t="shared" si="31"/>
        <v>Nebris micropsButterfish</v>
      </c>
    </row>
    <row r="1996" spans="1:9" x14ac:dyDescent="0.35">
      <c r="A1996">
        <v>32</v>
      </c>
      <c r="B1996">
        <v>2018</v>
      </c>
      <c r="C1996">
        <v>3</v>
      </c>
      <c r="D1996" t="s">
        <v>173</v>
      </c>
      <c r="E1996" t="s">
        <v>349</v>
      </c>
      <c r="F1996" t="s">
        <v>15</v>
      </c>
      <c r="G1996" t="s">
        <v>16</v>
      </c>
      <c r="H1996" s="4">
        <v>24</v>
      </c>
      <c r="I1996" t="str">
        <f t="shared" si="31"/>
        <v>Nebris micropsButterfish</v>
      </c>
    </row>
    <row r="1997" spans="1:9" x14ac:dyDescent="0.35">
      <c r="A1997">
        <v>32</v>
      </c>
      <c r="B1997">
        <v>2018</v>
      </c>
      <c r="C1997">
        <v>3</v>
      </c>
      <c r="D1997" t="s">
        <v>173</v>
      </c>
      <c r="E1997" t="s">
        <v>349</v>
      </c>
      <c r="F1997" t="s">
        <v>15</v>
      </c>
      <c r="G1997" t="s">
        <v>16</v>
      </c>
      <c r="H1997" s="4">
        <v>20</v>
      </c>
      <c r="I1997" t="str">
        <f t="shared" si="31"/>
        <v>Nebris micropsButterfish</v>
      </c>
    </row>
    <row r="1998" spans="1:9" x14ac:dyDescent="0.35">
      <c r="A1998">
        <v>32</v>
      </c>
      <c r="B1998">
        <v>2018</v>
      </c>
      <c r="C1998">
        <v>3</v>
      </c>
      <c r="D1998" t="s">
        <v>173</v>
      </c>
      <c r="E1998" t="s">
        <v>349</v>
      </c>
      <c r="F1998" t="s">
        <v>15</v>
      </c>
      <c r="G1998" t="s">
        <v>16</v>
      </c>
      <c r="H1998" s="4">
        <v>13</v>
      </c>
      <c r="I1998" t="str">
        <f t="shared" si="31"/>
        <v>Nebris micropsButterfish</v>
      </c>
    </row>
    <row r="1999" spans="1:9" x14ac:dyDescent="0.35">
      <c r="A1999">
        <v>32</v>
      </c>
      <c r="B1999">
        <v>2018</v>
      </c>
      <c r="C1999">
        <v>3</v>
      </c>
      <c r="D1999" t="s">
        <v>173</v>
      </c>
      <c r="E1999" t="s">
        <v>349</v>
      </c>
      <c r="F1999" t="s">
        <v>15</v>
      </c>
      <c r="G1999" t="s">
        <v>16</v>
      </c>
      <c r="H1999" s="4">
        <v>10</v>
      </c>
      <c r="I1999" t="str">
        <f t="shared" si="31"/>
        <v>Nebris micropsButterfish</v>
      </c>
    </row>
    <row r="2000" spans="1:9" x14ac:dyDescent="0.35">
      <c r="A2000">
        <v>32</v>
      </c>
      <c r="B2000">
        <v>2018</v>
      </c>
      <c r="C2000">
        <v>3</v>
      </c>
      <c r="D2000" t="s">
        <v>173</v>
      </c>
      <c r="E2000" t="s">
        <v>349</v>
      </c>
      <c r="F2000" t="s">
        <v>15</v>
      </c>
      <c r="G2000" t="s">
        <v>16</v>
      </c>
      <c r="H2000" s="4">
        <v>13</v>
      </c>
      <c r="I2000" t="str">
        <f t="shared" si="31"/>
        <v>Nebris micropsButterfish</v>
      </c>
    </row>
    <row r="2001" spans="1:9" x14ac:dyDescent="0.35">
      <c r="A2001">
        <v>32</v>
      </c>
      <c r="B2001">
        <v>2018</v>
      </c>
      <c r="C2001">
        <v>3</v>
      </c>
      <c r="D2001" t="s">
        <v>173</v>
      </c>
      <c r="E2001" t="s">
        <v>349</v>
      </c>
      <c r="F2001" t="s">
        <v>15</v>
      </c>
      <c r="G2001" t="s">
        <v>16</v>
      </c>
      <c r="H2001" s="4">
        <v>10</v>
      </c>
      <c r="I2001" t="str">
        <f t="shared" si="31"/>
        <v>Nebris micropsButterfish</v>
      </c>
    </row>
    <row r="2002" spans="1:9" x14ac:dyDescent="0.35">
      <c r="A2002">
        <v>32</v>
      </c>
      <c r="B2002">
        <v>2018</v>
      </c>
      <c r="C2002">
        <v>3</v>
      </c>
      <c r="D2002" t="s">
        <v>173</v>
      </c>
      <c r="E2002" t="s">
        <v>349</v>
      </c>
      <c r="F2002" t="s">
        <v>15</v>
      </c>
      <c r="G2002" t="s">
        <v>16</v>
      </c>
      <c r="H2002" s="4">
        <v>9</v>
      </c>
      <c r="I2002" t="str">
        <f t="shared" si="31"/>
        <v>Nebris micropsButterfish</v>
      </c>
    </row>
    <row r="2003" spans="1:9" x14ac:dyDescent="0.35">
      <c r="A2003">
        <v>32</v>
      </c>
      <c r="B2003">
        <v>2018</v>
      </c>
      <c r="C2003">
        <v>3</v>
      </c>
      <c r="D2003" t="s">
        <v>173</v>
      </c>
      <c r="E2003" t="s">
        <v>349</v>
      </c>
      <c r="F2003" t="s">
        <v>15</v>
      </c>
      <c r="G2003" t="s">
        <v>16</v>
      </c>
      <c r="H2003" s="4">
        <v>11</v>
      </c>
      <c r="I2003" t="str">
        <f t="shared" si="31"/>
        <v>Nebris micropsButterfish</v>
      </c>
    </row>
    <row r="2004" spans="1:9" x14ac:dyDescent="0.35">
      <c r="A2004">
        <v>32</v>
      </c>
      <c r="B2004">
        <v>2018</v>
      </c>
      <c r="C2004">
        <v>3</v>
      </c>
      <c r="D2004" t="s">
        <v>173</v>
      </c>
      <c r="E2004" t="s">
        <v>349</v>
      </c>
      <c r="F2004" t="s">
        <v>15</v>
      </c>
      <c r="G2004" t="s">
        <v>16</v>
      </c>
      <c r="H2004" s="4">
        <v>10</v>
      </c>
      <c r="I2004" t="str">
        <f t="shared" si="31"/>
        <v>Nebris micropsButterfish</v>
      </c>
    </row>
    <row r="2005" spans="1:9" x14ac:dyDescent="0.35">
      <c r="A2005">
        <v>32</v>
      </c>
      <c r="B2005">
        <v>2018</v>
      </c>
      <c r="C2005">
        <v>3</v>
      </c>
      <c r="D2005" t="s">
        <v>173</v>
      </c>
      <c r="E2005" t="s">
        <v>349</v>
      </c>
      <c r="F2005" t="s">
        <v>15</v>
      </c>
      <c r="G2005" t="s">
        <v>16</v>
      </c>
      <c r="H2005" s="4">
        <v>9</v>
      </c>
      <c r="I2005" t="str">
        <f t="shared" si="31"/>
        <v>Nebris micropsButterfish</v>
      </c>
    </row>
    <row r="2006" spans="1:9" x14ac:dyDescent="0.35">
      <c r="A2006">
        <v>32</v>
      </c>
      <c r="B2006">
        <v>2018</v>
      </c>
      <c r="C2006">
        <v>3</v>
      </c>
      <c r="D2006" t="s">
        <v>173</v>
      </c>
      <c r="E2006" t="s">
        <v>349</v>
      </c>
      <c r="F2006" t="s">
        <v>15</v>
      </c>
      <c r="G2006" t="s">
        <v>16</v>
      </c>
      <c r="H2006" s="4">
        <v>10</v>
      </c>
      <c r="I2006" t="str">
        <f t="shared" si="31"/>
        <v>Nebris micropsButterfish</v>
      </c>
    </row>
    <row r="2007" spans="1:9" x14ac:dyDescent="0.35">
      <c r="A2007">
        <v>32</v>
      </c>
      <c r="B2007">
        <v>2018</v>
      </c>
      <c r="C2007">
        <v>3</v>
      </c>
      <c r="D2007" t="s">
        <v>173</v>
      </c>
      <c r="E2007" t="s">
        <v>349</v>
      </c>
      <c r="F2007" t="s">
        <v>15</v>
      </c>
      <c r="G2007" t="s">
        <v>16</v>
      </c>
      <c r="H2007" s="4">
        <v>11</v>
      </c>
      <c r="I2007" t="str">
        <f t="shared" si="31"/>
        <v>Nebris micropsButterfish</v>
      </c>
    </row>
    <row r="2008" spans="1:9" x14ac:dyDescent="0.35">
      <c r="A2008">
        <v>32</v>
      </c>
      <c r="B2008">
        <v>2018</v>
      </c>
      <c r="C2008">
        <v>3</v>
      </c>
      <c r="D2008" t="s">
        <v>173</v>
      </c>
      <c r="E2008" t="s">
        <v>349</v>
      </c>
      <c r="F2008" t="s">
        <v>15</v>
      </c>
      <c r="G2008" t="s">
        <v>16</v>
      </c>
      <c r="H2008" s="4">
        <v>10</v>
      </c>
      <c r="I2008" t="str">
        <f t="shared" si="31"/>
        <v>Nebris micropsButterfish</v>
      </c>
    </row>
    <row r="2009" spans="1:9" x14ac:dyDescent="0.35">
      <c r="A2009">
        <v>32</v>
      </c>
      <c r="B2009">
        <v>2018</v>
      </c>
      <c r="C2009">
        <v>3</v>
      </c>
      <c r="D2009" t="s">
        <v>173</v>
      </c>
      <c r="E2009" t="s">
        <v>349</v>
      </c>
      <c r="F2009" t="s">
        <v>15</v>
      </c>
      <c r="G2009" t="s">
        <v>16</v>
      </c>
      <c r="H2009" s="4">
        <v>9</v>
      </c>
      <c r="I2009" t="str">
        <f t="shared" si="31"/>
        <v>Nebris micropsButterfish</v>
      </c>
    </row>
    <row r="2010" spans="1:9" x14ac:dyDescent="0.35">
      <c r="A2010">
        <v>32</v>
      </c>
      <c r="B2010">
        <v>2018</v>
      </c>
      <c r="C2010">
        <v>3</v>
      </c>
      <c r="D2010" t="s">
        <v>173</v>
      </c>
      <c r="E2010" t="s">
        <v>349</v>
      </c>
      <c r="F2010" t="s">
        <v>15</v>
      </c>
      <c r="G2010" t="s">
        <v>16</v>
      </c>
      <c r="H2010" s="4">
        <v>10</v>
      </c>
      <c r="I2010" t="str">
        <f t="shared" si="31"/>
        <v>Nebris micropsButterfish</v>
      </c>
    </row>
    <row r="2011" spans="1:9" x14ac:dyDescent="0.35">
      <c r="A2011">
        <v>32</v>
      </c>
      <c r="B2011">
        <v>2018</v>
      </c>
      <c r="C2011">
        <v>3</v>
      </c>
      <c r="D2011" t="s">
        <v>173</v>
      </c>
      <c r="E2011" t="s">
        <v>349</v>
      </c>
      <c r="F2011" t="s">
        <v>15</v>
      </c>
      <c r="G2011" t="s">
        <v>16</v>
      </c>
      <c r="H2011" s="4">
        <v>9</v>
      </c>
      <c r="I2011" t="str">
        <f t="shared" si="31"/>
        <v>Nebris micropsButterfish</v>
      </c>
    </row>
    <row r="2012" spans="1:9" x14ac:dyDescent="0.35">
      <c r="A2012">
        <v>32</v>
      </c>
      <c r="B2012">
        <v>2018</v>
      </c>
      <c r="C2012">
        <v>3</v>
      </c>
      <c r="D2012" t="s">
        <v>173</v>
      </c>
      <c r="E2012" t="s">
        <v>349</v>
      </c>
      <c r="F2012" t="s">
        <v>15</v>
      </c>
      <c r="G2012" t="s">
        <v>16</v>
      </c>
      <c r="H2012" s="4">
        <v>9</v>
      </c>
      <c r="I2012" t="str">
        <f t="shared" si="31"/>
        <v>Nebris micropsButterfish</v>
      </c>
    </row>
    <row r="2013" spans="1:9" x14ac:dyDescent="0.35">
      <c r="A2013">
        <v>32</v>
      </c>
      <c r="B2013">
        <v>2018</v>
      </c>
      <c r="C2013">
        <v>3</v>
      </c>
      <c r="D2013" t="s">
        <v>173</v>
      </c>
      <c r="E2013" t="s">
        <v>349</v>
      </c>
      <c r="F2013" t="s">
        <v>15</v>
      </c>
      <c r="G2013" t="s">
        <v>16</v>
      </c>
      <c r="H2013" s="4">
        <v>10</v>
      </c>
      <c r="I2013" t="str">
        <f t="shared" si="31"/>
        <v>Nebris micropsButterfish</v>
      </c>
    </row>
    <row r="2014" spans="1:9" x14ac:dyDescent="0.35">
      <c r="A2014">
        <v>32</v>
      </c>
      <c r="B2014">
        <v>2018</v>
      </c>
      <c r="C2014">
        <v>3</v>
      </c>
      <c r="D2014" t="s">
        <v>173</v>
      </c>
      <c r="E2014" t="s">
        <v>349</v>
      </c>
      <c r="F2014" t="s">
        <v>15</v>
      </c>
      <c r="G2014" t="s">
        <v>16</v>
      </c>
      <c r="H2014" s="4">
        <v>12</v>
      </c>
      <c r="I2014" t="str">
        <f t="shared" si="31"/>
        <v>Nebris micropsButterfish</v>
      </c>
    </row>
    <row r="2015" spans="1:9" x14ac:dyDescent="0.35">
      <c r="A2015">
        <v>32</v>
      </c>
      <c r="B2015">
        <v>2018</v>
      </c>
      <c r="C2015">
        <v>3</v>
      </c>
      <c r="D2015" t="s">
        <v>173</v>
      </c>
      <c r="E2015" t="s">
        <v>349</v>
      </c>
      <c r="F2015" t="s">
        <v>15</v>
      </c>
      <c r="G2015" t="s">
        <v>16</v>
      </c>
      <c r="H2015" s="4">
        <v>10</v>
      </c>
      <c r="I2015" t="str">
        <f t="shared" si="31"/>
        <v>Nebris micropsButterfish</v>
      </c>
    </row>
    <row r="2016" spans="1:9" x14ac:dyDescent="0.35">
      <c r="A2016">
        <v>32</v>
      </c>
      <c r="B2016">
        <v>2018</v>
      </c>
      <c r="C2016">
        <v>3</v>
      </c>
      <c r="D2016" t="s">
        <v>173</v>
      </c>
      <c r="E2016" t="s">
        <v>349</v>
      </c>
      <c r="F2016" t="s">
        <v>15</v>
      </c>
      <c r="G2016" t="s">
        <v>16</v>
      </c>
      <c r="H2016" s="4">
        <v>6</v>
      </c>
      <c r="I2016" t="str">
        <f t="shared" si="31"/>
        <v>Nebris micropsButterfish</v>
      </c>
    </row>
    <row r="2017" spans="1:9" x14ac:dyDescent="0.35">
      <c r="A2017">
        <v>32</v>
      </c>
      <c r="B2017">
        <v>2018</v>
      </c>
      <c r="C2017">
        <v>3</v>
      </c>
      <c r="D2017" t="s">
        <v>173</v>
      </c>
      <c r="E2017" t="s">
        <v>349</v>
      </c>
      <c r="F2017" t="s">
        <v>15</v>
      </c>
      <c r="G2017" t="s">
        <v>16</v>
      </c>
      <c r="H2017" s="4">
        <v>5</v>
      </c>
      <c r="I2017" t="str">
        <f t="shared" si="31"/>
        <v>Nebris micropsButterfish</v>
      </c>
    </row>
    <row r="2018" spans="1:9" x14ac:dyDescent="0.35">
      <c r="A2018">
        <v>32</v>
      </c>
      <c r="B2018">
        <v>2018</v>
      </c>
      <c r="C2018">
        <v>3</v>
      </c>
      <c r="D2018" t="s">
        <v>173</v>
      </c>
      <c r="E2018" t="s">
        <v>349</v>
      </c>
      <c r="F2018" t="s">
        <v>15</v>
      </c>
      <c r="G2018" t="s">
        <v>16</v>
      </c>
      <c r="H2018" s="4">
        <v>8</v>
      </c>
      <c r="I2018" t="str">
        <f t="shared" si="31"/>
        <v>Nebris micropsButterfish</v>
      </c>
    </row>
    <row r="2019" spans="1:9" x14ac:dyDescent="0.35">
      <c r="A2019">
        <v>32</v>
      </c>
      <c r="B2019">
        <v>2018</v>
      </c>
      <c r="C2019">
        <v>3</v>
      </c>
      <c r="D2019" t="s">
        <v>173</v>
      </c>
      <c r="E2019" t="s">
        <v>349</v>
      </c>
      <c r="F2019" t="s">
        <v>42</v>
      </c>
      <c r="G2019" t="s">
        <v>126</v>
      </c>
      <c r="H2019" s="4">
        <v>31</v>
      </c>
      <c r="I2019" t="str">
        <f t="shared" si="31"/>
        <v>Paralonchurus  elegansChinese Butterfish</v>
      </c>
    </row>
    <row r="2020" spans="1:9" x14ac:dyDescent="0.35">
      <c r="A2020">
        <v>32</v>
      </c>
      <c r="B2020">
        <v>2018</v>
      </c>
      <c r="C2020">
        <v>3</v>
      </c>
      <c r="D2020" t="s">
        <v>173</v>
      </c>
      <c r="E2020" t="s">
        <v>349</v>
      </c>
      <c r="F2020" t="s">
        <v>42</v>
      </c>
      <c r="G2020" t="s">
        <v>126</v>
      </c>
      <c r="H2020" s="4">
        <v>25</v>
      </c>
      <c r="I2020" t="str">
        <f t="shared" si="31"/>
        <v>Paralonchurus  elegansChinese Butterfish</v>
      </c>
    </row>
    <row r="2021" spans="1:9" x14ac:dyDescent="0.35">
      <c r="A2021">
        <v>32</v>
      </c>
      <c r="B2021">
        <v>2018</v>
      </c>
      <c r="C2021">
        <v>3</v>
      </c>
      <c r="D2021" t="s">
        <v>173</v>
      </c>
      <c r="E2021" t="s">
        <v>349</v>
      </c>
      <c r="F2021" t="s">
        <v>42</v>
      </c>
      <c r="G2021" t="s">
        <v>126</v>
      </c>
      <c r="H2021" s="4">
        <v>20</v>
      </c>
      <c r="I2021" t="str">
        <f t="shared" si="31"/>
        <v>Paralonchurus  elegansChinese Butterfish</v>
      </c>
    </row>
    <row r="2022" spans="1:9" x14ac:dyDescent="0.35">
      <c r="A2022">
        <v>32</v>
      </c>
      <c r="B2022">
        <v>2018</v>
      </c>
      <c r="C2022">
        <v>3</v>
      </c>
      <c r="D2022" t="s">
        <v>173</v>
      </c>
      <c r="E2022" t="s">
        <v>349</v>
      </c>
      <c r="F2022" t="s">
        <v>42</v>
      </c>
      <c r="G2022" t="s">
        <v>126</v>
      </c>
      <c r="H2022" s="4">
        <v>23</v>
      </c>
      <c r="I2022" t="str">
        <f t="shared" si="31"/>
        <v>Paralonchurus  elegansChinese Butterfish</v>
      </c>
    </row>
    <row r="2023" spans="1:9" x14ac:dyDescent="0.35">
      <c r="A2023">
        <v>32</v>
      </c>
      <c r="B2023">
        <v>2018</v>
      </c>
      <c r="C2023">
        <v>3</v>
      </c>
      <c r="D2023" t="s">
        <v>173</v>
      </c>
      <c r="E2023" t="s">
        <v>349</v>
      </c>
      <c r="F2023" t="s">
        <v>42</v>
      </c>
      <c r="G2023" t="s">
        <v>126</v>
      </c>
      <c r="H2023" s="4">
        <v>24</v>
      </c>
      <c r="I2023" t="str">
        <f t="shared" si="31"/>
        <v>Paralonchurus  elegansChinese Butterfish</v>
      </c>
    </row>
    <row r="2024" spans="1:9" x14ac:dyDescent="0.35">
      <c r="A2024">
        <v>32</v>
      </c>
      <c r="B2024">
        <v>2018</v>
      </c>
      <c r="C2024">
        <v>3</v>
      </c>
      <c r="D2024" t="s">
        <v>173</v>
      </c>
      <c r="E2024" t="s">
        <v>349</v>
      </c>
      <c r="F2024" t="s">
        <v>42</v>
      </c>
      <c r="G2024" t="s">
        <v>126</v>
      </c>
      <c r="H2024" s="4">
        <v>19</v>
      </c>
      <c r="I2024" t="str">
        <f t="shared" si="31"/>
        <v>Paralonchurus  elegansChinese Butterfish</v>
      </c>
    </row>
    <row r="2025" spans="1:9" x14ac:dyDescent="0.35">
      <c r="A2025">
        <v>32</v>
      </c>
      <c r="B2025">
        <v>2018</v>
      </c>
      <c r="C2025">
        <v>3</v>
      </c>
      <c r="D2025" t="s">
        <v>173</v>
      </c>
      <c r="E2025" t="s">
        <v>349</v>
      </c>
      <c r="F2025" t="s">
        <v>42</v>
      </c>
      <c r="G2025" t="s">
        <v>126</v>
      </c>
      <c r="H2025" s="4">
        <v>27</v>
      </c>
      <c r="I2025" t="str">
        <f t="shared" si="31"/>
        <v>Paralonchurus  elegansChinese Butterfish</v>
      </c>
    </row>
    <row r="2026" spans="1:9" x14ac:dyDescent="0.35">
      <c r="A2026">
        <v>32</v>
      </c>
      <c r="B2026">
        <v>2018</v>
      </c>
      <c r="C2026">
        <v>3</v>
      </c>
      <c r="D2026" t="s">
        <v>173</v>
      </c>
      <c r="E2026" t="s">
        <v>349</v>
      </c>
      <c r="F2026" t="s">
        <v>42</v>
      </c>
      <c r="G2026" t="s">
        <v>126</v>
      </c>
      <c r="H2026" s="4">
        <v>19</v>
      </c>
      <c r="I2026" t="str">
        <f t="shared" si="31"/>
        <v>Paralonchurus  elegansChinese Butterfish</v>
      </c>
    </row>
    <row r="2027" spans="1:9" x14ac:dyDescent="0.35">
      <c r="A2027">
        <v>32</v>
      </c>
      <c r="B2027">
        <v>2018</v>
      </c>
      <c r="C2027">
        <v>3</v>
      </c>
      <c r="D2027" t="s">
        <v>173</v>
      </c>
      <c r="E2027" t="s">
        <v>349</v>
      </c>
      <c r="F2027" t="s">
        <v>42</v>
      </c>
      <c r="G2027" t="s">
        <v>126</v>
      </c>
      <c r="H2027" s="4">
        <v>11</v>
      </c>
      <c r="I2027" t="str">
        <f t="shared" si="31"/>
        <v>Paralonchurus  elegansChinese Butterfish</v>
      </c>
    </row>
    <row r="2028" spans="1:9" x14ac:dyDescent="0.35">
      <c r="A2028">
        <v>32</v>
      </c>
      <c r="B2028">
        <v>2018</v>
      </c>
      <c r="C2028">
        <v>3</v>
      </c>
      <c r="D2028" t="s">
        <v>173</v>
      </c>
      <c r="E2028" t="s">
        <v>349</v>
      </c>
      <c r="F2028" t="s">
        <v>42</v>
      </c>
      <c r="G2028" t="s">
        <v>126</v>
      </c>
      <c r="H2028" s="4">
        <v>15</v>
      </c>
      <c r="I2028" t="str">
        <f t="shared" si="31"/>
        <v>Paralonchurus  elegansChinese Butterfish</v>
      </c>
    </row>
    <row r="2029" spans="1:9" x14ac:dyDescent="0.35">
      <c r="A2029">
        <v>32</v>
      </c>
      <c r="B2029">
        <v>2018</v>
      </c>
      <c r="C2029">
        <v>3</v>
      </c>
      <c r="D2029" t="s">
        <v>173</v>
      </c>
      <c r="E2029" t="s">
        <v>349</v>
      </c>
      <c r="F2029" t="s">
        <v>42</v>
      </c>
      <c r="G2029" t="s">
        <v>126</v>
      </c>
      <c r="H2029" s="4">
        <v>16</v>
      </c>
      <c r="I2029" t="str">
        <f t="shared" si="31"/>
        <v>Paralonchurus  elegansChinese Butterfish</v>
      </c>
    </row>
    <row r="2030" spans="1:9" x14ac:dyDescent="0.35">
      <c r="A2030">
        <v>32</v>
      </c>
      <c r="B2030">
        <v>2018</v>
      </c>
      <c r="C2030">
        <v>3</v>
      </c>
      <c r="D2030" t="s">
        <v>173</v>
      </c>
      <c r="E2030" t="s">
        <v>349</v>
      </c>
      <c r="F2030" t="s">
        <v>42</v>
      </c>
      <c r="G2030" t="s">
        <v>126</v>
      </c>
      <c r="H2030" s="4">
        <v>28</v>
      </c>
      <c r="I2030" t="str">
        <f t="shared" si="31"/>
        <v>Paralonchurus  elegansChinese Butterfish</v>
      </c>
    </row>
    <row r="2031" spans="1:9" x14ac:dyDescent="0.35">
      <c r="A2031">
        <v>32</v>
      </c>
      <c r="B2031">
        <v>2018</v>
      </c>
      <c r="C2031">
        <v>3</v>
      </c>
      <c r="D2031" t="s">
        <v>173</v>
      </c>
      <c r="E2031" t="s">
        <v>349</v>
      </c>
      <c r="F2031" t="s">
        <v>42</v>
      </c>
      <c r="G2031" t="s">
        <v>126</v>
      </c>
      <c r="H2031" s="4">
        <v>21</v>
      </c>
      <c r="I2031" t="str">
        <f t="shared" si="31"/>
        <v>Paralonchurus  elegansChinese Butterfish</v>
      </c>
    </row>
    <row r="2032" spans="1:9" x14ac:dyDescent="0.35">
      <c r="A2032">
        <v>32</v>
      </c>
      <c r="B2032">
        <v>2018</v>
      </c>
      <c r="C2032">
        <v>3</v>
      </c>
      <c r="D2032" t="s">
        <v>173</v>
      </c>
      <c r="E2032" t="s">
        <v>349</v>
      </c>
      <c r="F2032" t="s">
        <v>42</v>
      </c>
      <c r="G2032" t="s">
        <v>126</v>
      </c>
      <c r="H2032" s="4">
        <v>23</v>
      </c>
      <c r="I2032" t="str">
        <f t="shared" si="31"/>
        <v>Paralonchurus  elegansChinese Butterfish</v>
      </c>
    </row>
    <row r="2033" spans="1:9" x14ac:dyDescent="0.35">
      <c r="A2033">
        <v>32</v>
      </c>
      <c r="B2033">
        <v>2018</v>
      </c>
      <c r="C2033">
        <v>3</v>
      </c>
      <c r="D2033" t="s">
        <v>173</v>
      </c>
      <c r="E2033" t="s">
        <v>349</v>
      </c>
      <c r="F2033" t="s">
        <v>42</v>
      </c>
      <c r="G2033" t="s">
        <v>126</v>
      </c>
      <c r="H2033" s="4">
        <v>12</v>
      </c>
      <c r="I2033" t="str">
        <f t="shared" si="31"/>
        <v>Paralonchurus  elegansChinese Butterfish</v>
      </c>
    </row>
    <row r="2034" spans="1:9" x14ac:dyDescent="0.35">
      <c r="A2034">
        <v>32</v>
      </c>
      <c r="B2034">
        <v>2018</v>
      </c>
      <c r="C2034">
        <v>3</v>
      </c>
      <c r="D2034" t="s">
        <v>173</v>
      </c>
      <c r="E2034" t="s">
        <v>349</v>
      </c>
      <c r="F2034" t="s">
        <v>42</v>
      </c>
      <c r="G2034" t="s">
        <v>126</v>
      </c>
      <c r="H2034" s="4">
        <v>15</v>
      </c>
      <c r="I2034" t="str">
        <f t="shared" si="31"/>
        <v>Paralonchurus  elegansChinese Butterfish</v>
      </c>
    </row>
    <row r="2035" spans="1:9" x14ac:dyDescent="0.35">
      <c r="A2035">
        <v>32</v>
      </c>
      <c r="B2035">
        <v>2018</v>
      </c>
      <c r="C2035">
        <v>3</v>
      </c>
      <c r="D2035" t="s">
        <v>173</v>
      </c>
      <c r="E2035" t="s">
        <v>349</v>
      </c>
      <c r="F2035" t="s">
        <v>42</v>
      </c>
      <c r="G2035" t="s">
        <v>126</v>
      </c>
      <c r="H2035" s="4">
        <v>11</v>
      </c>
      <c r="I2035" t="str">
        <f t="shared" si="31"/>
        <v>Paralonchurus  elegansChinese Butterfish</v>
      </c>
    </row>
    <row r="2036" spans="1:9" x14ac:dyDescent="0.35">
      <c r="A2036">
        <v>32</v>
      </c>
      <c r="B2036">
        <v>2018</v>
      </c>
      <c r="C2036">
        <v>3</v>
      </c>
      <c r="D2036" t="s">
        <v>173</v>
      </c>
      <c r="E2036" t="s">
        <v>349</v>
      </c>
      <c r="F2036" t="s">
        <v>42</v>
      </c>
      <c r="G2036" t="s">
        <v>126</v>
      </c>
      <c r="H2036" s="4">
        <v>15</v>
      </c>
      <c r="I2036" t="str">
        <f t="shared" si="31"/>
        <v>Paralonchurus  elegansChinese Butterfish</v>
      </c>
    </row>
    <row r="2037" spans="1:9" x14ac:dyDescent="0.35">
      <c r="A2037">
        <v>32</v>
      </c>
      <c r="B2037">
        <v>2018</v>
      </c>
      <c r="C2037">
        <v>3</v>
      </c>
      <c r="D2037" t="s">
        <v>173</v>
      </c>
      <c r="E2037" t="s">
        <v>349</v>
      </c>
      <c r="F2037" t="s">
        <v>42</v>
      </c>
      <c r="G2037" t="s">
        <v>126</v>
      </c>
      <c r="H2037" s="4">
        <v>14</v>
      </c>
      <c r="I2037" t="str">
        <f t="shared" si="31"/>
        <v>Paralonchurus  elegansChinese Butterfish</v>
      </c>
    </row>
    <row r="2038" spans="1:9" x14ac:dyDescent="0.35">
      <c r="A2038">
        <v>32</v>
      </c>
      <c r="B2038">
        <v>2018</v>
      </c>
      <c r="C2038">
        <v>3</v>
      </c>
      <c r="D2038" t="s">
        <v>173</v>
      </c>
      <c r="E2038" t="s">
        <v>349</v>
      </c>
      <c r="F2038" t="s">
        <v>42</v>
      </c>
      <c r="G2038" t="s">
        <v>126</v>
      </c>
      <c r="H2038" s="4">
        <v>16</v>
      </c>
      <c r="I2038" t="str">
        <f t="shared" si="31"/>
        <v>Paralonchurus  elegansChinese Butterfish</v>
      </c>
    </row>
    <row r="2039" spans="1:9" x14ac:dyDescent="0.35">
      <c r="A2039">
        <v>32</v>
      </c>
      <c r="B2039">
        <v>2018</v>
      </c>
      <c r="C2039">
        <v>3</v>
      </c>
      <c r="D2039" t="s">
        <v>173</v>
      </c>
      <c r="E2039" t="s">
        <v>349</v>
      </c>
      <c r="F2039" t="s">
        <v>42</v>
      </c>
      <c r="G2039" t="s">
        <v>126</v>
      </c>
      <c r="H2039" s="4">
        <v>12</v>
      </c>
      <c r="I2039" t="str">
        <f t="shared" si="31"/>
        <v>Paralonchurus  elegansChinese Butterfish</v>
      </c>
    </row>
    <row r="2040" spans="1:9" x14ac:dyDescent="0.35">
      <c r="A2040">
        <v>32</v>
      </c>
      <c r="B2040">
        <v>2018</v>
      </c>
      <c r="C2040">
        <v>3</v>
      </c>
      <c r="D2040" t="s">
        <v>173</v>
      </c>
      <c r="E2040" t="s">
        <v>349</v>
      </c>
      <c r="F2040" t="s">
        <v>42</v>
      </c>
      <c r="G2040" t="s">
        <v>126</v>
      </c>
      <c r="H2040" s="4">
        <v>12</v>
      </c>
      <c r="I2040" t="str">
        <f t="shared" si="31"/>
        <v>Paralonchurus  elegansChinese Butterfish</v>
      </c>
    </row>
    <row r="2041" spans="1:9" x14ac:dyDescent="0.35">
      <c r="A2041">
        <v>32</v>
      </c>
      <c r="B2041">
        <v>2018</v>
      </c>
      <c r="C2041">
        <v>3</v>
      </c>
      <c r="D2041" t="s">
        <v>173</v>
      </c>
      <c r="E2041" t="s">
        <v>349</v>
      </c>
      <c r="F2041" t="s">
        <v>42</v>
      </c>
      <c r="G2041" t="s">
        <v>126</v>
      </c>
      <c r="H2041" s="4">
        <v>15</v>
      </c>
      <c r="I2041" t="str">
        <f t="shared" si="31"/>
        <v>Paralonchurus  elegansChinese Butterfish</v>
      </c>
    </row>
    <row r="2042" spans="1:9" x14ac:dyDescent="0.35">
      <c r="A2042">
        <v>32</v>
      </c>
      <c r="B2042">
        <v>2018</v>
      </c>
      <c r="C2042">
        <v>3</v>
      </c>
      <c r="D2042" t="s">
        <v>173</v>
      </c>
      <c r="E2042" t="s">
        <v>349</v>
      </c>
      <c r="F2042" t="s">
        <v>42</v>
      </c>
      <c r="G2042" t="s">
        <v>126</v>
      </c>
      <c r="H2042" s="4">
        <v>11</v>
      </c>
      <c r="I2042" t="str">
        <f t="shared" si="31"/>
        <v>Paralonchurus  elegansChinese Butterfish</v>
      </c>
    </row>
    <row r="2043" spans="1:9" x14ac:dyDescent="0.35">
      <c r="A2043">
        <v>32</v>
      </c>
      <c r="B2043">
        <v>2018</v>
      </c>
      <c r="C2043">
        <v>3</v>
      </c>
      <c r="D2043" t="s">
        <v>173</v>
      </c>
      <c r="E2043" t="s">
        <v>349</v>
      </c>
      <c r="F2043" t="s">
        <v>42</v>
      </c>
      <c r="G2043" t="s">
        <v>126</v>
      </c>
      <c r="H2043" s="4">
        <v>11</v>
      </c>
      <c r="I2043" t="str">
        <f t="shared" si="31"/>
        <v>Paralonchurus  elegansChinese Butterfish</v>
      </c>
    </row>
    <row r="2044" spans="1:9" x14ac:dyDescent="0.35">
      <c r="A2044">
        <v>32</v>
      </c>
      <c r="B2044">
        <v>2018</v>
      </c>
      <c r="C2044">
        <v>3</v>
      </c>
      <c r="D2044" t="s">
        <v>173</v>
      </c>
      <c r="E2044" t="s">
        <v>349</v>
      </c>
      <c r="F2044" t="s">
        <v>42</v>
      </c>
      <c r="G2044" t="s">
        <v>126</v>
      </c>
      <c r="H2044" s="4">
        <v>10</v>
      </c>
      <c r="I2044" t="str">
        <f t="shared" si="31"/>
        <v>Paralonchurus  elegansChinese Butterfish</v>
      </c>
    </row>
    <row r="2045" spans="1:9" x14ac:dyDescent="0.35">
      <c r="A2045">
        <v>32</v>
      </c>
      <c r="B2045">
        <v>2018</v>
      </c>
      <c r="C2045">
        <v>3</v>
      </c>
      <c r="D2045" t="s">
        <v>173</v>
      </c>
      <c r="E2045" t="s">
        <v>349</v>
      </c>
      <c r="F2045" t="s">
        <v>42</v>
      </c>
      <c r="G2045" t="s">
        <v>126</v>
      </c>
      <c r="H2045" s="4">
        <v>10</v>
      </c>
      <c r="I2045" t="str">
        <f t="shared" si="31"/>
        <v>Paralonchurus  elegansChinese Butterfish</v>
      </c>
    </row>
    <row r="2046" spans="1:9" x14ac:dyDescent="0.35">
      <c r="A2046">
        <v>32</v>
      </c>
      <c r="B2046">
        <v>2018</v>
      </c>
      <c r="C2046">
        <v>3</v>
      </c>
      <c r="D2046" t="s">
        <v>173</v>
      </c>
      <c r="E2046" t="s">
        <v>349</v>
      </c>
      <c r="F2046" t="s">
        <v>42</v>
      </c>
      <c r="G2046" t="s">
        <v>126</v>
      </c>
      <c r="H2046" s="4">
        <v>9</v>
      </c>
      <c r="I2046" t="str">
        <f t="shared" si="31"/>
        <v>Paralonchurus  elegansChinese Butterfish</v>
      </c>
    </row>
    <row r="2047" spans="1:9" x14ac:dyDescent="0.35">
      <c r="A2047">
        <v>32</v>
      </c>
      <c r="B2047">
        <v>2018</v>
      </c>
      <c r="C2047">
        <v>3</v>
      </c>
      <c r="D2047" t="s">
        <v>173</v>
      </c>
      <c r="E2047" t="s">
        <v>349</v>
      </c>
      <c r="F2047" t="s">
        <v>42</v>
      </c>
      <c r="G2047" t="s">
        <v>126</v>
      </c>
      <c r="H2047" s="4">
        <v>13</v>
      </c>
      <c r="I2047" t="str">
        <f t="shared" si="31"/>
        <v>Paralonchurus  elegansChinese Butterfish</v>
      </c>
    </row>
    <row r="2048" spans="1:9" x14ac:dyDescent="0.35">
      <c r="A2048">
        <v>32</v>
      </c>
      <c r="B2048">
        <v>2018</v>
      </c>
      <c r="C2048">
        <v>3</v>
      </c>
      <c r="D2048" t="s">
        <v>173</v>
      </c>
      <c r="E2048" t="s">
        <v>349</v>
      </c>
      <c r="F2048" t="s">
        <v>42</v>
      </c>
      <c r="G2048" t="s">
        <v>126</v>
      </c>
      <c r="H2048" s="4">
        <v>12</v>
      </c>
      <c r="I2048" t="str">
        <f t="shared" si="31"/>
        <v>Paralonchurus  elegansChinese Butterfish</v>
      </c>
    </row>
    <row r="2049" spans="1:9" x14ac:dyDescent="0.35">
      <c r="A2049">
        <v>32</v>
      </c>
      <c r="B2049">
        <v>2018</v>
      </c>
      <c r="C2049">
        <v>3</v>
      </c>
      <c r="D2049" t="s">
        <v>173</v>
      </c>
      <c r="E2049" t="s">
        <v>349</v>
      </c>
      <c r="F2049" t="s">
        <v>42</v>
      </c>
      <c r="G2049" t="s">
        <v>126</v>
      </c>
      <c r="H2049" s="4">
        <v>9</v>
      </c>
      <c r="I2049" t="str">
        <f t="shared" si="31"/>
        <v>Paralonchurus  elegansChinese Butterfish</v>
      </c>
    </row>
    <row r="2050" spans="1:9" x14ac:dyDescent="0.35">
      <c r="A2050">
        <v>32</v>
      </c>
      <c r="B2050">
        <v>2018</v>
      </c>
      <c r="C2050">
        <v>3</v>
      </c>
      <c r="D2050" t="s">
        <v>173</v>
      </c>
      <c r="E2050" t="s">
        <v>349</v>
      </c>
      <c r="F2050" t="s">
        <v>42</v>
      </c>
      <c r="G2050" t="s">
        <v>126</v>
      </c>
      <c r="H2050" s="4">
        <v>10</v>
      </c>
      <c r="I2050" t="str">
        <f t="shared" ref="I2050:I2113" si="32">CONCATENATE(F2050,G2050)</f>
        <v>Paralonchurus  elegansChinese Butterfish</v>
      </c>
    </row>
    <row r="2051" spans="1:9" x14ac:dyDescent="0.35">
      <c r="A2051">
        <v>32</v>
      </c>
      <c r="B2051">
        <v>2018</v>
      </c>
      <c r="C2051">
        <v>3</v>
      </c>
      <c r="D2051" t="s">
        <v>173</v>
      </c>
      <c r="E2051" t="s">
        <v>349</v>
      </c>
      <c r="F2051" t="s">
        <v>43</v>
      </c>
      <c r="G2051" t="s">
        <v>57</v>
      </c>
      <c r="H2051" s="4">
        <v>12</v>
      </c>
      <c r="I2051" t="str">
        <f t="shared" si="32"/>
        <v>Cynoscion virescensSeatrout</v>
      </c>
    </row>
    <row r="2052" spans="1:9" x14ac:dyDescent="0.35">
      <c r="A2052">
        <v>32</v>
      </c>
      <c r="B2052">
        <v>2018</v>
      </c>
      <c r="C2052">
        <v>3</v>
      </c>
      <c r="D2052" t="s">
        <v>173</v>
      </c>
      <c r="E2052" t="s">
        <v>349</v>
      </c>
      <c r="F2052" t="s">
        <v>43</v>
      </c>
      <c r="G2052" t="s">
        <v>57</v>
      </c>
      <c r="H2052" s="4">
        <v>17</v>
      </c>
      <c r="I2052" t="str">
        <f t="shared" si="32"/>
        <v>Cynoscion virescensSeatrout</v>
      </c>
    </row>
    <row r="2053" spans="1:9" x14ac:dyDescent="0.35">
      <c r="A2053">
        <v>32</v>
      </c>
      <c r="B2053">
        <v>2018</v>
      </c>
      <c r="C2053">
        <v>3</v>
      </c>
      <c r="D2053" t="s">
        <v>173</v>
      </c>
      <c r="E2053" t="s">
        <v>349</v>
      </c>
      <c r="F2053" t="s">
        <v>43</v>
      </c>
      <c r="G2053" t="s">
        <v>57</v>
      </c>
      <c r="H2053" s="4">
        <v>13</v>
      </c>
      <c r="I2053" t="str">
        <f t="shared" si="32"/>
        <v>Cynoscion virescensSeatrout</v>
      </c>
    </row>
    <row r="2054" spans="1:9" x14ac:dyDescent="0.35">
      <c r="A2054">
        <v>32</v>
      </c>
      <c r="B2054">
        <v>2018</v>
      </c>
      <c r="C2054">
        <v>3</v>
      </c>
      <c r="D2054" t="s">
        <v>173</v>
      </c>
      <c r="E2054" t="s">
        <v>349</v>
      </c>
      <c r="F2054" t="s">
        <v>43</v>
      </c>
      <c r="G2054" t="s">
        <v>57</v>
      </c>
      <c r="H2054" s="4">
        <v>10</v>
      </c>
      <c r="I2054" t="str">
        <f t="shared" si="32"/>
        <v>Cynoscion virescensSeatrout</v>
      </c>
    </row>
    <row r="2055" spans="1:9" x14ac:dyDescent="0.35">
      <c r="A2055">
        <v>32</v>
      </c>
      <c r="B2055">
        <v>2018</v>
      </c>
      <c r="C2055">
        <v>3</v>
      </c>
      <c r="D2055" t="s">
        <v>173</v>
      </c>
      <c r="E2055" t="s">
        <v>349</v>
      </c>
      <c r="F2055" t="s">
        <v>43</v>
      </c>
      <c r="G2055" t="s">
        <v>57</v>
      </c>
      <c r="H2055" s="4">
        <v>10</v>
      </c>
      <c r="I2055" t="str">
        <f t="shared" si="32"/>
        <v>Cynoscion virescensSeatrout</v>
      </c>
    </row>
    <row r="2056" spans="1:9" x14ac:dyDescent="0.35">
      <c r="A2056">
        <v>32</v>
      </c>
      <c r="B2056">
        <v>2018</v>
      </c>
      <c r="C2056">
        <v>3</v>
      </c>
      <c r="D2056" t="s">
        <v>173</v>
      </c>
      <c r="E2056" t="s">
        <v>349</v>
      </c>
      <c r="F2056" t="s">
        <v>43</v>
      </c>
      <c r="G2056" t="s">
        <v>57</v>
      </c>
      <c r="H2056" s="4">
        <v>14</v>
      </c>
      <c r="I2056" t="str">
        <f t="shared" si="32"/>
        <v>Cynoscion virescensSeatrout</v>
      </c>
    </row>
    <row r="2057" spans="1:9" x14ac:dyDescent="0.35">
      <c r="A2057">
        <v>32</v>
      </c>
      <c r="B2057">
        <v>2018</v>
      </c>
      <c r="C2057">
        <v>3</v>
      </c>
      <c r="D2057" t="s">
        <v>173</v>
      </c>
      <c r="E2057" t="s">
        <v>349</v>
      </c>
      <c r="F2057" t="s">
        <v>43</v>
      </c>
      <c r="G2057" t="s">
        <v>57</v>
      </c>
      <c r="H2057" s="4">
        <v>12</v>
      </c>
      <c r="I2057" t="str">
        <f t="shared" si="32"/>
        <v>Cynoscion virescensSeatrout</v>
      </c>
    </row>
    <row r="2058" spans="1:9" x14ac:dyDescent="0.35">
      <c r="A2058">
        <v>32</v>
      </c>
      <c r="B2058">
        <v>2018</v>
      </c>
      <c r="C2058">
        <v>3</v>
      </c>
      <c r="D2058" t="s">
        <v>173</v>
      </c>
      <c r="E2058" t="s">
        <v>349</v>
      </c>
      <c r="F2058" t="s">
        <v>43</v>
      </c>
      <c r="G2058" t="s">
        <v>57</v>
      </c>
      <c r="H2058" s="4">
        <v>13</v>
      </c>
      <c r="I2058" t="str">
        <f t="shared" si="32"/>
        <v>Cynoscion virescensSeatrout</v>
      </c>
    </row>
    <row r="2059" spans="1:9" x14ac:dyDescent="0.35">
      <c r="A2059">
        <v>32</v>
      </c>
      <c r="B2059">
        <v>2018</v>
      </c>
      <c r="C2059">
        <v>3</v>
      </c>
      <c r="D2059" t="s">
        <v>173</v>
      </c>
      <c r="E2059" t="s">
        <v>349</v>
      </c>
      <c r="F2059" t="s">
        <v>43</v>
      </c>
      <c r="G2059" t="s">
        <v>57</v>
      </c>
      <c r="H2059" s="4">
        <v>15</v>
      </c>
      <c r="I2059" t="str">
        <f t="shared" si="32"/>
        <v>Cynoscion virescensSeatrout</v>
      </c>
    </row>
    <row r="2060" spans="1:9" x14ac:dyDescent="0.35">
      <c r="A2060">
        <v>32</v>
      </c>
      <c r="B2060">
        <v>2018</v>
      </c>
      <c r="C2060">
        <v>3</v>
      </c>
      <c r="D2060" t="s">
        <v>173</v>
      </c>
      <c r="E2060" t="s">
        <v>349</v>
      </c>
      <c r="F2060" t="s">
        <v>43</v>
      </c>
      <c r="G2060" t="s">
        <v>57</v>
      </c>
      <c r="H2060" s="4">
        <v>14</v>
      </c>
      <c r="I2060" t="str">
        <f t="shared" si="32"/>
        <v>Cynoscion virescensSeatrout</v>
      </c>
    </row>
    <row r="2061" spans="1:9" x14ac:dyDescent="0.35">
      <c r="A2061">
        <v>32</v>
      </c>
      <c r="B2061">
        <v>2018</v>
      </c>
      <c r="C2061">
        <v>3</v>
      </c>
      <c r="D2061" t="s">
        <v>173</v>
      </c>
      <c r="E2061" t="s">
        <v>349</v>
      </c>
      <c r="F2061" t="s">
        <v>43</v>
      </c>
      <c r="G2061" t="s">
        <v>57</v>
      </c>
      <c r="H2061" s="4">
        <v>16</v>
      </c>
      <c r="I2061" t="str">
        <f t="shared" si="32"/>
        <v>Cynoscion virescensSeatrout</v>
      </c>
    </row>
    <row r="2062" spans="1:9" x14ac:dyDescent="0.35">
      <c r="A2062">
        <v>32</v>
      </c>
      <c r="B2062">
        <v>2018</v>
      </c>
      <c r="C2062">
        <v>3</v>
      </c>
      <c r="D2062" t="s">
        <v>173</v>
      </c>
      <c r="E2062" t="s">
        <v>349</v>
      </c>
      <c r="F2062" t="s">
        <v>43</v>
      </c>
      <c r="G2062" t="s">
        <v>57</v>
      </c>
      <c r="H2062" s="4">
        <v>17</v>
      </c>
      <c r="I2062" t="str">
        <f t="shared" si="32"/>
        <v>Cynoscion virescensSeatrout</v>
      </c>
    </row>
    <row r="2063" spans="1:9" x14ac:dyDescent="0.35">
      <c r="A2063">
        <v>32</v>
      </c>
      <c r="B2063">
        <v>2018</v>
      </c>
      <c r="C2063">
        <v>3</v>
      </c>
      <c r="D2063" t="s">
        <v>173</v>
      </c>
      <c r="E2063" t="s">
        <v>349</v>
      </c>
      <c r="F2063" t="s">
        <v>43</v>
      </c>
      <c r="G2063" t="s">
        <v>57</v>
      </c>
      <c r="H2063" s="4">
        <v>16</v>
      </c>
      <c r="I2063" t="str">
        <f t="shared" si="32"/>
        <v>Cynoscion virescensSeatrout</v>
      </c>
    </row>
    <row r="2064" spans="1:9" x14ac:dyDescent="0.35">
      <c r="A2064">
        <v>32</v>
      </c>
      <c r="B2064">
        <v>2018</v>
      </c>
      <c r="C2064">
        <v>3</v>
      </c>
      <c r="D2064" t="s">
        <v>173</v>
      </c>
      <c r="E2064" t="s">
        <v>349</v>
      </c>
      <c r="F2064" t="s">
        <v>43</v>
      </c>
      <c r="G2064" t="s">
        <v>57</v>
      </c>
      <c r="H2064" s="4">
        <v>13</v>
      </c>
      <c r="I2064" t="str">
        <f t="shared" si="32"/>
        <v>Cynoscion virescensSeatrout</v>
      </c>
    </row>
    <row r="2065" spans="1:9" x14ac:dyDescent="0.35">
      <c r="A2065">
        <v>32</v>
      </c>
      <c r="B2065">
        <v>2018</v>
      </c>
      <c r="C2065">
        <v>3</v>
      </c>
      <c r="D2065" t="s">
        <v>173</v>
      </c>
      <c r="E2065" t="s">
        <v>349</v>
      </c>
      <c r="F2065" t="s">
        <v>43</v>
      </c>
      <c r="G2065" t="s">
        <v>57</v>
      </c>
      <c r="H2065" s="4">
        <v>13</v>
      </c>
      <c r="I2065" t="str">
        <f t="shared" si="32"/>
        <v>Cynoscion virescensSeatrout</v>
      </c>
    </row>
    <row r="2066" spans="1:9" x14ac:dyDescent="0.35">
      <c r="A2066">
        <v>32</v>
      </c>
      <c r="B2066">
        <v>2018</v>
      </c>
      <c r="C2066">
        <v>3</v>
      </c>
      <c r="D2066" t="s">
        <v>173</v>
      </c>
      <c r="E2066" t="s">
        <v>349</v>
      </c>
      <c r="F2066" t="s">
        <v>43</v>
      </c>
      <c r="G2066" t="s">
        <v>57</v>
      </c>
      <c r="H2066" s="4">
        <v>11</v>
      </c>
      <c r="I2066" t="str">
        <f t="shared" si="32"/>
        <v>Cynoscion virescensSeatrout</v>
      </c>
    </row>
    <row r="2067" spans="1:9" x14ac:dyDescent="0.35">
      <c r="A2067">
        <v>32</v>
      </c>
      <c r="B2067">
        <v>2018</v>
      </c>
      <c r="C2067">
        <v>3</v>
      </c>
      <c r="D2067" t="s">
        <v>173</v>
      </c>
      <c r="E2067" t="s">
        <v>349</v>
      </c>
      <c r="F2067" t="s">
        <v>43</v>
      </c>
      <c r="G2067" t="s">
        <v>57</v>
      </c>
      <c r="H2067" s="4">
        <v>10</v>
      </c>
      <c r="I2067" t="str">
        <f t="shared" si="32"/>
        <v>Cynoscion virescensSeatrout</v>
      </c>
    </row>
    <row r="2068" spans="1:9" x14ac:dyDescent="0.35">
      <c r="A2068">
        <v>32</v>
      </c>
      <c r="B2068">
        <v>2018</v>
      </c>
      <c r="C2068">
        <v>3</v>
      </c>
      <c r="D2068" t="s">
        <v>173</v>
      </c>
      <c r="E2068" t="s">
        <v>349</v>
      </c>
      <c r="F2068" t="s">
        <v>43</v>
      </c>
      <c r="G2068" t="s">
        <v>57</v>
      </c>
      <c r="H2068" s="4">
        <v>17</v>
      </c>
      <c r="I2068" t="str">
        <f t="shared" si="32"/>
        <v>Cynoscion virescensSeatrout</v>
      </c>
    </row>
    <row r="2069" spans="1:9" x14ac:dyDescent="0.35">
      <c r="A2069">
        <v>32</v>
      </c>
      <c r="B2069">
        <v>2018</v>
      </c>
      <c r="C2069">
        <v>3</v>
      </c>
      <c r="D2069" t="s">
        <v>173</v>
      </c>
      <c r="E2069" t="s">
        <v>349</v>
      </c>
      <c r="F2069" t="s">
        <v>43</v>
      </c>
      <c r="G2069" t="s">
        <v>57</v>
      </c>
      <c r="H2069" s="4">
        <v>13</v>
      </c>
      <c r="I2069" t="str">
        <f t="shared" si="32"/>
        <v>Cynoscion virescensSeatrout</v>
      </c>
    </row>
    <row r="2070" spans="1:9" x14ac:dyDescent="0.35">
      <c r="A2070">
        <v>32</v>
      </c>
      <c r="B2070">
        <v>2018</v>
      </c>
      <c r="C2070">
        <v>3</v>
      </c>
      <c r="D2070" t="s">
        <v>173</v>
      </c>
      <c r="E2070" t="s">
        <v>349</v>
      </c>
      <c r="F2070" t="s">
        <v>43</v>
      </c>
      <c r="G2070" t="s">
        <v>57</v>
      </c>
      <c r="H2070" s="4">
        <v>11</v>
      </c>
      <c r="I2070" t="str">
        <f t="shared" si="32"/>
        <v>Cynoscion virescensSeatrout</v>
      </c>
    </row>
    <row r="2071" spans="1:9" x14ac:dyDescent="0.35">
      <c r="A2071">
        <v>32</v>
      </c>
      <c r="B2071">
        <v>2018</v>
      </c>
      <c r="C2071">
        <v>3</v>
      </c>
      <c r="D2071" t="s">
        <v>173</v>
      </c>
      <c r="E2071" t="s">
        <v>349</v>
      </c>
      <c r="F2071" t="s">
        <v>43</v>
      </c>
      <c r="G2071" t="s">
        <v>57</v>
      </c>
      <c r="H2071" s="4">
        <v>11</v>
      </c>
      <c r="I2071" t="str">
        <f t="shared" si="32"/>
        <v>Cynoscion virescensSeatrout</v>
      </c>
    </row>
    <row r="2072" spans="1:9" x14ac:dyDescent="0.35">
      <c r="A2072">
        <v>32</v>
      </c>
      <c r="B2072">
        <v>2018</v>
      </c>
      <c r="C2072">
        <v>3</v>
      </c>
      <c r="D2072" t="s">
        <v>173</v>
      </c>
      <c r="E2072" t="s">
        <v>349</v>
      </c>
      <c r="F2072" t="s">
        <v>43</v>
      </c>
      <c r="G2072" t="s">
        <v>57</v>
      </c>
      <c r="H2072" s="4">
        <v>16</v>
      </c>
      <c r="I2072" t="str">
        <f t="shared" si="32"/>
        <v>Cynoscion virescensSeatrout</v>
      </c>
    </row>
    <row r="2073" spans="1:9" x14ac:dyDescent="0.35">
      <c r="A2073">
        <v>32</v>
      </c>
      <c r="B2073">
        <v>2018</v>
      </c>
      <c r="C2073">
        <v>3</v>
      </c>
      <c r="D2073" t="s">
        <v>173</v>
      </c>
      <c r="E2073" t="s">
        <v>349</v>
      </c>
      <c r="F2073" t="s">
        <v>43</v>
      </c>
      <c r="G2073" t="s">
        <v>57</v>
      </c>
      <c r="H2073" s="4">
        <v>13</v>
      </c>
      <c r="I2073" t="str">
        <f t="shared" si="32"/>
        <v>Cynoscion virescensSeatrout</v>
      </c>
    </row>
    <row r="2074" spans="1:9" x14ac:dyDescent="0.35">
      <c r="A2074">
        <v>32</v>
      </c>
      <c r="B2074">
        <v>2018</v>
      </c>
      <c r="C2074">
        <v>3</v>
      </c>
      <c r="D2074" t="s">
        <v>173</v>
      </c>
      <c r="E2074" t="s">
        <v>349</v>
      </c>
      <c r="F2074" t="s">
        <v>43</v>
      </c>
      <c r="G2074" t="s">
        <v>57</v>
      </c>
      <c r="H2074" s="4">
        <v>4</v>
      </c>
      <c r="I2074" t="str">
        <f t="shared" si="32"/>
        <v>Cynoscion virescensSeatrout</v>
      </c>
    </row>
    <row r="2075" spans="1:9" x14ac:dyDescent="0.35">
      <c r="A2075">
        <v>32</v>
      </c>
      <c r="B2075">
        <v>2018</v>
      </c>
      <c r="C2075">
        <v>3</v>
      </c>
      <c r="D2075" t="s">
        <v>173</v>
      </c>
      <c r="E2075" t="s">
        <v>349</v>
      </c>
      <c r="F2075" t="s">
        <v>43</v>
      </c>
      <c r="G2075" t="s">
        <v>57</v>
      </c>
      <c r="H2075" s="4">
        <v>13</v>
      </c>
      <c r="I2075" t="str">
        <f t="shared" si="32"/>
        <v>Cynoscion virescensSeatrout</v>
      </c>
    </row>
    <row r="2076" spans="1:9" x14ac:dyDescent="0.35">
      <c r="A2076">
        <v>32</v>
      </c>
      <c r="B2076">
        <v>2018</v>
      </c>
      <c r="C2076">
        <v>3</v>
      </c>
      <c r="D2076" t="s">
        <v>173</v>
      </c>
      <c r="E2076" t="s">
        <v>349</v>
      </c>
      <c r="F2076" t="s">
        <v>43</v>
      </c>
      <c r="G2076" t="s">
        <v>57</v>
      </c>
      <c r="H2076" s="4">
        <v>12</v>
      </c>
      <c r="I2076" t="str">
        <f t="shared" si="32"/>
        <v>Cynoscion virescensSeatrout</v>
      </c>
    </row>
    <row r="2077" spans="1:9" x14ac:dyDescent="0.35">
      <c r="A2077">
        <v>32</v>
      </c>
      <c r="B2077">
        <v>2018</v>
      </c>
      <c r="C2077">
        <v>3</v>
      </c>
      <c r="D2077" t="s">
        <v>173</v>
      </c>
      <c r="E2077" t="s">
        <v>349</v>
      </c>
      <c r="F2077" t="s">
        <v>43</v>
      </c>
      <c r="G2077" t="s">
        <v>57</v>
      </c>
      <c r="H2077" s="4">
        <v>6</v>
      </c>
      <c r="I2077" t="str">
        <f t="shared" si="32"/>
        <v>Cynoscion virescensSeatrout</v>
      </c>
    </row>
    <row r="2078" spans="1:9" x14ac:dyDescent="0.35">
      <c r="A2078">
        <v>32</v>
      </c>
      <c r="B2078">
        <v>2018</v>
      </c>
      <c r="C2078">
        <v>3</v>
      </c>
      <c r="D2078" t="s">
        <v>173</v>
      </c>
      <c r="E2078" t="s">
        <v>349</v>
      </c>
      <c r="F2078" t="s">
        <v>43</v>
      </c>
      <c r="G2078" t="s">
        <v>57</v>
      </c>
      <c r="H2078" s="4">
        <v>11</v>
      </c>
      <c r="I2078" t="str">
        <f t="shared" si="32"/>
        <v>Cynoscion virescensSeatrout</v>
      </c>
    </row>
    <row r="2079" spans="1:9" x14ac:dyDescent="0.35">
      <c r="A2079">
        <v>32</v>
      </c>
      <c r="B2079">
        <v>2018</v>
      </c>
      <c r="C2079">
        <v>3</v>
      </c>
      <c r="D2079" t="s">
        <v>173</v>
      </c>
      <c r="E2079" t="s">
        <v>349</v>
      </c>
      <c r="F2079" t="s">
        <v>43</v>
      </c>
      <c r="G2079" t="s">
        <v>57</v>
      </c>
      <c r="H2079" s="4">
        <v>14</v>
      </c>
      <c r="I2079" t="str">
        <f t="shared" si="32"/>
        <v>Cynoscion virescensSeatrout</v>
      </c>
    </row>
    <row r="2080" spans="1:9" x14ac:dyDescent="0.35">
      <c r="A2080">
        <v>32</v>
      </c>
      <c r="B2080">
        <v>2018</v>
      </c>
      <c r="C2080">
        <v>3</v>
      </c>
      <c r="D2080" t="s">
        <v>173</v>
      </c>
      <c r="E2080" t="s">
        <v>349</v>
      </c>
      <c r="F2080" t="s">
        <v>43</v>
      </c>
      <c r="G2080" t="s">
        <v>57</v>
      </c>
      <c r="H2080" s="4">
        <v>11</v>
      </c>
      <c r="I2080" t="str">
        <f t="shared" si="32"/>
        <v>Cynoscion virescensSeatrout</v>
      </c>
    </row>
    <row r="2081" spans="1:9" x14ac:dyDescent="0.35">
      <c r="A2081">
        <v>32</v>
      </c>
      <c r="B2081">
        <v>2018</v>
      </c>
      <c r="C2081">
        <v>3</v>
      </c>
      <c r="D2081" t="s">
        <v>173</v>
      </c>
      <c r="E2081" t="s">
        <v>349</v>
      </c>
      <c r="F2081" t="s">
        <v>43</v>
      </c>
      <c r="G2081" t="s">
        <v>57</v>
      </c>
      <c r="H2081" s="4">
        <v>17</v>
      </c>
      <c r="I2081" t="str">
        <f t="shared" si="32"/>
        <v>Cynoscion virescensSeatrout</v>
      </c>
    </row>
    <row r="2082" spans="1:9" x14ac:dyDescent="0.35">
      <c r="A2082">
        <v>32</v>
      </c>
      <c r="B2082">
        <v>2018</v>
      </c>
      <c r="C2082">
        <v>3</v>
      </c>
      <c r="D2082" t="s">
        <v>173</v>
      </c>
      <c r="E2082" t="s">
        <v>349</v>
      </c>
      <c r="F2082" t="s">
        <v>43</v>
      </c>
      <c r="G2082" t="s">
        <v>57</v>
      </c>
      <c r="H2082" s="4">
        <v>10</v>
      </c>
      <c r="I2082" t="str">
        <f t="shared" si="32"/>
        <v>Cynoscion virescensSeatrout</v>
      </c>
    </row>
    <row r="2083" spans="1:9" x14ac:dyDescent="0.35">
      <c r="A2083">
        <v>32</v>
      </c>
      <c r="B2083">
        <v>2018</v>
      </c>
      <c r="C2083">
        <v>3</v>
      </c>
      <c r="D2083" t="s">
        <v>173</v>
      </c>
      <c r="E2083" t="s">
        <v>349</v>
      </c>
      <c r="F2083" t="s">
        <v>58</v>
      </c>
      <c r="G2083" t="s">
        <v>59</v>
      </c>
      <c r="H2083" s="4">
        <v>19</v>
      </c>
      <c r="I2083" t="str">
        <f t="shared" si="32"/>
        <v>Stellifer rastriferRockhead</v>
      </c>
    </row>
    <row r="2084" spans="1:9" x14ac:dyDescent="0.35">
      <c r="A2084">
        <v>32</v>
      </c>
      <c r="B2084">
        <v>2018</v>
      </c>
      <c r="C2084">
        <v>3</v>
      </c>
      <c r="D2084" t="s">
        <v>173</v>
      </c>
      <c r="E2084" t="s">
        <v>349</v>
      </c>
      <c r="F2084" t="s">
        <v>58</v>
      </c>
      <c r="G2084" t="s">
        <v>59</v>
      </c>
      <c r="H2084" s="4">
        <v>19</v>
      </c>
      <c r="I2084" t="str">
        <f t="shared" si="32"/>
        <v>Stellifer rastriferRockhead</v>
      </c>
    </row>
    <row r="2085" spans="1:9" x14ac:dyDescent="0.35">
      <c r="A2085">
        <v>32</v>
      </c>
      <c r="B2085">
        <v>2018</v>
      </c>
      <c r="C2085">
        <v>3</v>
      </c>
      <c r="D2085" t="s">
        <v>173</v>
      </c>
      <c r="E2085" t="s">
        <v>349</v>
      </c>
      <c r="F2085" t="s">
        <v>58</v>
      </c>
      <c r="G2085" t="s">
        <v>59</v>
      </c>
      <c r="H2085" s="4">
        <v>17</v>
      </c>
      <c r="I2085" t="str">
        <f t="shared" si="32"/>
        <v>Stellifer rastriferRockhead</v>
      </c>
    </row>
    <row r="2086" spans="1:9" x14ac:dyDescent="0.35">
      <c r="A2086">
        <v>32</v>
      </c>
      <c r="B2086">
        <v>2018</v>
      </c>
      <c r="C2086">
        <v>3</v>
      </c>
      <c r="D2086" t="s">
        <v>173</v>
      </c>
      <c r="E2086" t="s">
        <v>349</v>
      </c>
      <c r="F2086" t="s">
        <v>58</v>
      </c>
      <c r="G2086" t="s">
        <v>59</v>
      </c>
      <c r="H2086" s="4">
        <v>17</v>
      </c>
      <c r="I2086" t="str">
        <f t="shared" si="32"/>
        <v>Stellifer rastriferRockhead</v>
      </c>
    </row>
    <row r="2087" spans="1:9" x14ac:dyDescent="0.35">
      <c r="A2087">
        <v>32</v>
      </c>
      <c r="B2087">
        <v>2018</v>
      </c>
      <c r="C2087">
        <v>3</v>
      </c>
      <c r="D2087" t="s">
        <v>173</v>
      </c>
      <c r="E2087" t="s">
        <v>349</v>
      </c>
      <c r="F2087" t="s">
        <v>58</v>
      </c>
      <c r="G2087" t="s">
        <v>59</v>
      </c>
      <c r="H2087" s="4">
        <v>11</v>
      </c>
      <c r="I2087" t="str">
        <f t="shared" si="32"/>
        <v>Stellifer rastriferRockhead</v>
      </c>
    </row>
    <row r="2088" spans="1:9" x14ac:dyDescent="0.35">
      <c r="A2088">
        <v>32</v>
      </c>
      <c r="B2088">
        <v>2018</v>
      </c>
      <c r="C2088">
        <v>3</v>
      </c>
      <c r="D2088" t="s">
        <v>173</v>
      </c>
      <c r="E2088" t="s">
        <v>349</v>
      </c>
      <c r="F2088" t="s">
        <v>58</v>
      </c>
      <c r="G2088" t="s">
        <v>59</v>
      </c>
      <c r="H2088" s="4">
        <v>15</v>
      </c>
      <c r="I2088" t="str">
        <f t="shared" si="32"/>
        <v>Stellifer rastriferRockhead</v>
      </c>
    </row>
    <row r="2089" spans="1:9" x14ac:dyDescent="0.35">
      <c r="A2089">
        <v>32</v>
      </c>
      <c r="B2089">
        <v>2018</v>
      </c>
      <c r="C2089">
        <v>3</v>
      </c>
      <c r="D2089" t="s">
        <v>173</v>
      </c>
      <c r="E2089" t="s">
        <v>349</v>
      </c>
      <c r="F2089" t="s">
        <v>58</v>
      </c>
      <c r="G2089" t="s">
        <v>59</v>
      </c>
      <c r="H2089" s="4">
        <v>14</v>
      </c>
      <c r="I2089" t="str">
        <f t="shared" si="32"/>
        <v>Stellifer rastriferRockhead</v>
      </c>
    </row>
    <row r="2090" spans="1:9" x14ac:dyDescent="0.35">
      <c r="A2090">
        <v>32</v>
      </c>
      <c r="B2090">
        <v>2018</v>
      </c>
      <c r="C2090">
        <v>3</v>
      </c>
      <c r="D2090" t="s">
        <v>173</v>
      </c>
      <c r="E2090" t="s">
        <v>349</v>
      </c>
      <c r="F2090" t="s">
        <v>58</v>
      </c>
      <c r="G2090" t="s">
        <v>59</v>
      </c>
      <c r="H2090" s="4">
        <v>22</v>
      </c>
      <c r="I2090" t="str">
        <f t="shared" si="32"/>
        <v>Stellifer rastriferRockhead</v>
      </c>
    </row>
    <row r="2091" spans="1:9" x14ac:dyDescent="0.35">
      <c r="A2091">
        <v>32</v>
      </c>
      <c r="B2091">
        <v>2018</v>
      </c>
      <c r="C2091">
        <v>3</v>
      </c>
      <c r="D2091" t="s">
        <v>173</v>
      </c>
      <c r="E2091" t="s">
        <v>349</v>
      </c>
      <c r="F2091" t="s">
        <v>58</v>
      </c>
      <c r="G2091" t="s">
        <v>59</v>
      </c>
      <c r="H2091" s="4">
        <v>13</v>
      </c>
      <c r="I2091" t="str">
        <f t="shared" si="32"/>
        <v>Stellifer rastriferRockhead</v>
      </c>
    </row>
    <row r="2092" spans="1:9" x14ac:dyDescent="0.35">
      <c r="A2092">
        <v>32</v>
      </c>
      <c r="B2092">
        <v>2018</v>
      </c>
      <c r="C2092">
        <v>3</v>
      </c>
      <c r="D2092" t="s">
        <v>173</v>
      </c>
      <c r="E2092" t="s">
        <v>349</v>
      </c>
      <c r="F2092" t="s">
        <v>58</v>
      </c>
      <c r="G2092" t="s">
        <v>59</v>
      </c>
      <c r="H2092" s="4">
        <v>16</v>
      </c>
      <c r="I2092" t="str">
        <f t="shared" si="32"/>
        <v>Stellifer rastriferRockhead</v>
      </c>
    </row>
    <row r="2093" spans="1:9" x14ac:dyDescent="0.35">
      <c r="A2093">
        <v>32</v>
      </c>
      <c r="B2093">
        <v>2018</v>
      </c>
      <c r="C2093">
        <v>3</v>
      </c>
      <c r="D2093" t="s">
        <v>173</v>
      </c>
      <c r="E2093" t="s">
        <v>349</v>
      </c>
      <c r="F2093" t="s">
        <v>58</v>
      </c>
      <c r="G2093" t="s">
        <v>59</v>
      </c>
      <c r="H2093" s="4">
        <v>14</v>
      </c>
      <c r="I2093" t="str">
        <f t="shared" si="32"/>
        <v>Stellifer rastriferRockhead</v>
      </c>
    </row>
    <row r="2094" spans="1:9" x14ac:dyDescent="0.35">
      <c r="A2094">
        <v>32</v>
      </c>
      <c r="B2094">
        <v>2018</v>
      </c>
      <c r="C2094">
        <v>3</v>
      </c>
      <c r="D2094" t="s">
        <v>173</v>
      </c>
      <c r="E2094" t="s">
        <v>349</v>
      </c>
      <c r="F2094" t="s">
        <v>58</v>
      </c>
      <c r="G2094" t="s">
        <v>59</v>
      </c>
      <c r="H2094" s="4">
        <v>8</v>
      </c>
      <c r="I2094" t="str">
        <f t="shared" si="32"/>
        <v>Stellifer rastriferRockhead</v>
      </c>
    </row>
    <row r="2095" spans="1:9" x14ac:dyDescent="0.35">
      <c r="A2095">
        <v>32</v>
      </c>
      <c r="B2095">
        <v>2018</v>
      </c>
      <c r="C2095">
        <v>3</v>
      </c>
      <c r="D2095" t="s">
        <v>173</v>
      </c>
      <c r="E2095" t="s">
        <v>349</v>
      </c>
      <c r="F2095" t="s">
        <v>58</v>
      </c>
      <c r="G2095" t="s">
        <v>59</v>
      </c>
      <c r="H2095" s="4">
        <v>11</v>
      </c>
      <c r="I2095" t="str">
        <f t="shared" si="32"/>
        <v>Stellifer rastriferRockhead</v>
      </c>
    </row>
    <row r="2096" spans="1:9" x14ac:dyDescent="0.35">
      <c r="A2096">
        <v>32</v>
      </c>
      <c r="B2096">
        <v>2018</v>
      </c>
      <c r="C2096">
        <v>3</v>
      </c>
      <c r="D2096" t="s">
        <v>173</v>
      </c>
      <c r="E2096" t="s">
        <v>349</v>
      </c>
      <c r="F2096" t="s">
        <v>58</v>
      </c>
      <c r="G2096" t="s">
        <v>59</v>
      </c>
      <c r="H2096" s="4">
        <v>9</v>
      </c>
      <c r="I2096" t="str">
        <f t="shared" si="32"/>
        <v>Stellifer rastriferRockhead</v>
      </c>
    </row>
    <row r="2097" spans="1:9" x14ac:dyDescent="0.35">
      <c r="A2097">
        <v>32</v>
      </c>
      <c r="B2097">
        <v>2018</v>
      </c>
      <c r="C2097">
        <v>3</v>
      </c>
      <c r="D2097" t="s">
        <v>173</v>
      </c>
      <c r="E2097" t="s">
        <v>349</v>
      </c>
      <c r="F2097" t="s">
        <v>58</v>
      </c>
      <c r="G2097" t="s">
        <v>59</v>
      </c>
      <c r="H2097" s="4">
        <v>7</v>
      </c>
      <c r="I2097" t="str">
        <f t="shared" si="32"/>
        <v>Stellifer rastriferRockhead</v>
      </c>
    </row>
    <row r="2098" spans="1:9" x14ac:dyDescent="0.35">
      <c r="A2098">
        <v>32</v>
      </c>
      <c r="B2098">
        <v>2018</v>
      </c>
      <c r="C2098">
        <v>3</v>
      </c>
      <c r="D2098" t="s">
        <v>173</v>
      </c>
      <c r="E2098" t="s">
        <v>349</v>
      </c>
      <c r="F2098" t="s">
        <v>58</v>
      </c>
      <c r="G2098" t="s">
        <v>59</v>
      </c>
      <c r="H2098" s="4">
        <v>10</v>
      </c>
      <c r="I2098" t="str">
        <f t="shared" si="32"/>
        <v>Stellifer rastriferRockhead</v>
      </c>
    </row>
    <row r="2099" spans="1:9" x14ac:dyDescent="0.35">
      <c r="A2099">
        <v>32</v>
      </c>
      <c r="B2099">
        <v>2018</v>
      </c>
      <c r="C2099">
        <v>3</v>
      </c>
      <c r="D2099" t="s">
        <v>173</v>
      </c>
      <c r="E2099" t="s">
        <v>349</v>
      </c>
      <c r="F2099" t="s">
        <v>58</v>
      </c>
      <c r="G2099" t="s">
        <v>59</v>
      </c>
      <c r="H2099" s="4">
        <v>11</v>
      </c>
      <c r="I2099" t="str">
        <f t="shared" si="32"/>
        <v>Stellifer rastriferRockhead</v>
      </c>
    </row>
    <row r="2100" spans="1:9" x14ac:dyDescent="0.35">
      <c r="A2100">
        <v>32</v>
      </c>
      <c r="B2100">
        <v>2018</v>
      </c>
      <c r="C2100">
        <v>3</v>
      </c>
      <c r="D2100" t="s">
        <v>173</v>
      </c>
      <c r="E2100" t="s">
        <v>349</v>
      </c>
      <c r="F2100" t="s">
        <v>58</v>
      </c>
      <c r="G2100" t="s">
        <v>59</v>
      </c>
      <c r="H2100" s="4">
        <v>11</v>
      </c>
      <c r="I2100" t="str">
        <f t="shared" si="32"/>
        <v>Stellifer rastriferRockhead</v>
      </c>
    </row>
    <row r="2101" spans="1:9" x14ac:dyDescent="0.35">
      <c r="A2101">
        <v>32</v>
      </c>
      <c r="B2101">
        <v>2018</v>
      </c>
      <c r="C2101">
        <v>3</v>
      </c>
      <c r="D2101" t="s">
        <v>173</v>
      </c>
      <c r="E2101" t="s">
        <v>349</v>
      </c>
      <c r="F2101" t="s">
        <v>58</v>
      </c>
      <c r="G2101" t="s">
        <v>59</v>
      </c>
      <c r="H2101" s="4">
        <v>11</v>
      </c>
      <c r="I2101" t="str">
        <f t="shared" si="32"/>
        <v>Stellifer rastriferRockhead</v>
      </c>
    </row>
    <row r="2102" spans="1:9" x14ac:dyDescent="0.35">
      <c r="A2102">
        <v>32</v>
      </c>
      <c r="B2102">
        <v>2018</v>
      </c>
      <c r="C2102">
        <v>3</v>
      </c>
      <c r="D2102" t="s">
        <v>173</v>
      </c>
      <c r="E2102" t="s">
        <v>349</v>
      </c>
      <c r="F2102" t="s">
        <v>58</v>
      </c>
      <c r="G2102" t="s">
        <v>59</v>
      </c>
      <c r="H2102" s="4">
        <v>6</v>
      </c>
      <c r="I2102" t="str">
        <f t="shared" si="32"/>
        <v>Stellifer rastriferRockhead</v>
      </c>
    </row>
    <row r="2103" spans="1:9" x14ac:dyDescent="0.35">
      <c r="A2103">
        <v>32</v>
      </c>
      <c r="B2103">
        <v>2018</v>
      </c>
      <c r="C2103">
        <v>3</v>
      </c>
      <c r="D2103" t="s">
        <v>173</v>
      </c>
      <c r="E2103" t="s">
        <v>349</v>
      </c>
      <c r="F2103" t="s">
        <v>58</v>
      </c>
      <c r="G2103" t="s">
        <v>59</v>
      </c>
      <c r="H2103" s="4">
        <v>14</v>
      </c>
      <c r="I2103" t="str">
        <f t="shared" si="32"/>
        <v>Stellifer rastriferRockhead</v>
      </c>
    </row>
    <row r="2104" spans="1:9" x14ac:dyDescent="0.35">
      <c r="A2104">
        <v>32</v>
      </c>
      <c r="B2104">
        <v>2018</v>
      </c>
      <c r="C2104">
        <v>3</v>
      </c>
      <c r="D2104" t="s">
        <v>173</v>
      </c>
      <c r="E2104" t="s">
        <v>349</v>
      </c>
      <c r="F2104" t="s">
        <v>58</v>
      </c>
      <c r="G2104" t="s">
        <v>59</v>
      </c>
      <c r="H2104" s="4">
        <v>12</v>
      </c>
      <c r="I2104" t="str">
        <f t="shared" si="32"/>
        <v>Stellifer rastriferRockhead</v>
      </c>
    </row>
    <row r="2105" spans="1:9" x14ac:dyDescent="0.35">
      <c r="A2105">
        <v>32</v>
      </c>
      <c r="B2105">
        <v>2018</v>
      </c>
      <c r="C2105">
        <v>3</v>
      </c>
      <c r="D2105" t="s">
        <v>173</v>
      </c>
      <c r="E2105" t="s">
        <v>349</v>
      </c>
      <c r="F2105" t="s">
        <v>58</v>
      </c>
      <c r="G2105" t="s">
        <v>59</v>
      </c>
      <c r="H2105" s="4">
        <v>11</v>
      </c>
      <c r="I2105" t="str">
        <f t="shared" si="32"/>
        <v>Stellifer rastriferRockhead</v>
      </c>
    </row>
    <row r="2106" spans="1:9" x14ac:dyDescent="0.35">
      <c r="A2106">
        <v>32</v>
      </c>
      <c r="B2106">
        <v>2018</v>
      </c>
      <c r="C2106">
        <v>3</v>
      </c>
      <c r="D2106" t="s">
        <v>173</v>
      </c>
      <c r="E2106" t="s">
        <v>349</v>
      </c>
      <c r="F2106" t="s">
        <v>58</v>
      </c>
      <c r="G2106" t="s">
        <v>59</v>
      </c>
      <c r="H2106" s="4">
        <v>8</v>
      </c>
      <c r="I2106" t="str">
        <f t="shared" si="32"/>
        <v>Stellifer rastriferRockhead</v>
      </c>
    </row>
    <row r="2107" spans="1:9" x14ac:dyDescent="0.35">
      <c r="A2107">
        <v>32</v>
      </c>
      <c r="B2107">
        <v>2018</v>
      </c>
      <c r="C2107">
        <v>3</v>
      </c>
      <c r="D2107" t="s">
        <v>173</v>
      </c>
      <c r="E2107" t="s">
        <v>349</v>
      </c>
      <c r="F2107" t="s">
        <v>58</v>
      </c>
      <c r="G2107" t="s">
        <v>59</v>
      </c>
      <c r="H2107" s="4">
        <v>8</v>
      </c>
      <c r="I2107" t="str">
        <f t="shared" si="32"/>
        <v>Stellifer rastriferRockhead</v>
      </c>
    </row>
    <row r="2108" spans="1:9" x14ac:dyDescent="0.35">
      <c r="A2108">
        <v>32</v>
      </c>
      <c r="B2108">
        <v>2018</v>
      </c>
      <c r="C2108">
        <v>3</v>
      </c>
      <c r="D2108" t="s">
        <v>173</v>
      </c>
      <c r="E2108" t="s">
        <v>349</v>
      </c>
      <c r="F2108" t="s">
        <v>58</v>
      </c>
      <c r="G2108" t="s">
        <v>59</v>
      </c>
      <c r="H2108" s="4">
        <v>8</v>
      </c>
      <c r="I2108" t="str">
        <f t="shared" si="32"/>
        <v>Stellifer rastriferRockhead</v>
      </c>
    </row>
    <row r="2109" spans="1:9" x14ac:dyDescent="0.35">
      <c r="A2109">
        <v>32</v>
      </c>
      <c r="B2109">
        <v>2018</v>
      </c>
      <c r="C2109">
        <v>3</v>
      </c>
      <c r="D2109" t="s">
        <v>173</v>
      </c>
      <c r="E2109" t="s">
        <v>349</v>
      </c>
      <c r="F2109" t="s">
        <v>58</v>
      </c>
      <c r="G2109" t="s">
        <v>59</v>
      </c>
      <c r="H2109" s="4">
        <v>7</v>
      </c>
      <c r="I2109" t="str">
        <f t="shared" si="32"/>
        <v>Stellifer rastriferRockhead</v>
      </c>
    </row>
    <row r="2110" spans="1:9" x14ac:dyDescent="0.35">
      <c r="A2110">
        <v>32</v>
      </c>
      <c r="B2110">
        <v>2018</v>
      </c>
      <c r="C2110">
        <v>3</v>
      </c>
      <c r="D2110" t="s">
        <v>173</v>
      </c>
      <c r="E2110" t="s">
        <v>349</v>
      </c>
      <c r="F2110" t="s">
        <v>58</v>
      </c>
      <c r="G2110" t="s">
        <v>59</v>
      </c>
      <c r="H2110" s="4">
        <v>6</v>
      </c>
      <c r="I2110" t="str">
        <f t="shared" si="32"/>
        <v>Stellifer rastriferRockhead</v>
      </c>
    </row>
    <row r="2111" spans="1:9" x14ac:dyDescent="0.35">
      <c r="A2111">
        <v>32</v>
      </c>
      <c r="B2111">
        <v>2018</v>
      </c>
      <c r="C2111">
        <v>3</v>
      </c>
      <c r="D2111" t="s">
        <v>173</v>
      </c>
      <c r="E2111" t="s">
        <v>349</v>
      </c>
      <c r="F2111" t="s">
        <v>58</v>
      </c>
      <c r="G2111" t="s">
        <v>59</v>
      </c>
      <c r="H2111" s="4">
        <v>7</v>
      </c>
      <c r="I2111" t="str">
        <f t="shared" si="32"/>
        <v>Stellifer rastriferRockhead</v>
      </c>
    </row>
    <row r="2112" spans="1:9" x14ac:dyDescent="0.35">
      <c r="A2112">
        <v>32</v>
      </c>
      <c r="B2112">
        <v>2018</v>
      </c>
      <c r="C2112">
        <v>3</v>
      </c>
      <c r="D2112" t="s">
        <v>173</v>
      </c>
      <c r="E2112" t="s">
        <v>349</v>
      </c>
      <c r="F2112" t="s">
        <v>58</v>
      </c>
      <c r="G2112" t="s">
        <v>59</v>
      </c>
      <c r="H2112" s="4">
        <v>7</v>
      </c>
      <c r="I2112" t="str">
        <f t="shared" si="32"/>
        <v>Stellifer rastriferRockhead</v>
      </c>
    </row>
    <row r="2113" spans="1:9" x14ac:dyDescent="0.35">
      <c r="A2113">
        <v>32</v>
      </c>
      <c r="B2113">
        <v>2018</v>
      </c>
      <c r="C2113">
        <v>3</v>
      </c>
      <c r="D2113" t="s">
        <v>173</v>
      </c>
      <c r="E2113" t="s">
        <v>349</v>
      </c>
      <c r="F2113" t="s">
        <v>58</v>
      </c>
      <c r="G2113" t="s">
        <v>59</v>
      </c>
      <c r="H2113" s="4">
        <v>6</v>
      </c>
      <c r="I2113" t="str">
        <f t="shared" si="32"/>
        <v>Stellifer rastriferRockhead</v>
      </c>
    </row>
    <row r="2114" spans="1:9" x14ac:dyDescent="0.35">
      <c r="A2114">
        <v>33</v>
      </c>
      <c r="B2114">
        <v>2018</v>
      </c>
      <c r="C2114">
        <v>3</v>
      </c>
      <c r="D2114" t="s">
        <v>174</v>
      </c>
      <c r="E2114" t="s">
        <v>349</v>
      </c>
      <c r="F2114" t="s">
        <v>15</v>
      </c>
      <c r="G2114" t="s">
        <v>16</v>
      </c>
      <c r="H2114" s="4">
        <v>32</v>
      </c>
      <c r="I2114" t="str">
        <f t="shared" ref="I2114:I2177" si="33">CONCATENATE(F2114,G2114)</f>
        <v>Nebris micropsButterfish</v>
      </c>
    </row>
    <row r="2115" spans="1:9" x14ac:dyDescent="0.35">
      <c r="A2115">
        <v>33</v>
      </c>
      <c r="B2115">
        <v>2018</v>
      </c>
      <c r="C2115">
        <v>3</v>
      </c>
      <c r="D2115" t="s">
        <v>174</v>
      </c>
      <c r="E2115" t="s">
        <v>349</v>
      </c>
      <c r="F2115" t="s">
        <v>15</v>
      </c>
      <c r="G2115" t="s">
        <v>16</v>
      </c>
      <c r="H2115" s="4">
        <v>32</v>
      </c>
      <c r="I2115" t="str">
        <f t="shared" si="33"/>
        <v>Nebris micropsButterfish</v>
      </c>
    </row>
    <row r="2116" spans="1:9" x14ac:dyDescent="0.35">
      <c r="A2116">
        <v>33</v>
      </c>
      <c r="B2116">
        <v>2018</v>
      </c>
      <c r="C2116">
        <v>3</v>
      </c>
      <c r="D2116" t="s">
        <v>174</v>
      </c>
      <c r="E2116" t="s">
        <v>349</v>
      </c>
      <c r="F2116" t="s">
        <v>15</v>
      </c>
      <c r="G2116" t="s">
        <v>16</v>
      </c>
      <c r="H2116" s="4">
        <v>23</v>
      </c>
      <c r="I2116" t="str">
        <f t="shared" si="33"/>
        <v>Nebris micropsButterfish</v>
      </c>
    </row>
    <row r="2117" spans="1:9" x14ac:dyDescent="0.35">
      <c r="A2117">
        <v>33</v>
      </c>
      <c r="B2117">
        <v>2018</v>
      </c>
      <c r="C2117">
        <v>3</v>
      </c>
      <c r="D2117" t="s">
        <v>174</v>
      </c>
      <c r="E2117" t="s">
        <v>349</v>
      </c>
      <c r="F2117" t="s">
        <v>15</v>
      </c>
      <c r="G2117" t="s">
        <v>16</v>
      </c>
      <c r="H2117" s="4">
        <v>25</v>
      </c>
      <c r="I2117" t="str">
        <f t="shared" si="33"/>
        <v>Nebris micropsButterfish</v>
      </c>
    </row>
    <row r="2118" spans="1:9" x14ac:dyDescent="0.35">
      <c r="A2118">
        <v>33</v>
      </c>
      <c r="B2118">
        <v>2018</v>
      </c>
      <c r="C2118">
        <v>3</v>
      </c>
      <c r="D2118" t="s">
        <v>174</v>
      </c>
      <c r="E2118" t="s">
        <v>349</v>
      </c>
      <c r="F2118" t="s">
        <v>15</v>
      </c>
      <c r="G2118" t="s">
        <v>16</v>
      </c>
      <c r="H2118" s="4">
        <v>32</v>
      </c>
      <c r="I2118" t="str">
        <f t="shared" si="33"/>
        <v>Nebris micropsButterfish</v>
      </c>
    </row>
    <row r="2119" spans="1:9" x14ac:dyDescent="0.35">
      <c r="A2119">
        <v>33</v>
      </c>
      <c r="B2119">
        <v>2018</v>
      </c>
      <c r="C2119">
        <v>3</v>
      </c>
      <c r="D2119" t="s">
        <v>174</v>
      </c>
      <c r="E2119" t="s">
        <v>349</v>
      </c>
      <c r="F2119" t="s">
        <v>15</v>
      </c>
      <c r="G2119" t="s">
        <v>16</v>
      </c>
      <c r="H2119" s="4">
        <v>32</v>
      </c>
      <c r="I2119" t="str">
        <f t="shared" si="33"/>
        <v>Nebris micropsButterfish</v>
      </c>
    </row>
    <row r="2120" spans="1:9" x14ac:dyDescent="0.35">
      <c r="A2120">
        <v>33</v>
      </c>
      <c r="B2120">
        <v>2018</v>
      </c>
      <c r="C2120">
        <v>3</v>
      </c>
      <c r="D2120" t="s">
        <v>174</v>
      </c>
      <c r="E2120" t="s">
        <v>349</v>
      </c>
      <c r="F2120" t="s">
        <v>15</v>
      </c>
      <c r="G2120" t="s">
        <v>16</v>
      </c>
      <c r="H2120" s="4">
        <v>22</v>
      </c>
      <c r="I2120" t="str">
        <f t="shared" si="33"/>
        <v>Nebris micropsButterfish</v>
      </c>
    </row>
    <row r="2121" spans="1:9" x14ac:dyDescent="0.35">
      <c r="A2121">
        <v>33</v>
      </c>
      <c r="B2121">
        <v>2018</v>
      </c>
      <c r="C2121">
        <v>3</v>
      </c>
      <c r="D2121" t="s">
        <v>174</v>
      </c>
      <c r="E2121" t="s">
        <v>349</v>
      </c>
      <c r="F2121" t="s">
        <v>15</v>
      </c>
      <c r="G2121" t="s">
        <v>16</v>
      </c>
      <c r="H2121" s="4">
        <v>24</v>
      </c>
      <c r="I2121" t="str">
        <f t="shared" si="33"/>
        <v>Nebris micropsButterfish</v>
      </c>
    </row>
    <row r="2122" spans="1:9" x14ac:dyDescent="0.35">
      <c r="A2122">
        <v>33</v>
      </c>
      <c r="B2122">
        <v>2018</v>
      </c>
      <c r="C2122">
        <v>3</v>
      </c>
      <c r="D2122" t="s">
        <v>174</v>
      </c>
      <c r="E2122" t="s">
        <v>349</v>
      </c>
      <c r="F2122" t="s">
        <v>15</v>
      </c>
      <c r="G2122" t="s">
        <v>16</v>
      </c>
      <c r="H2122" s="4">
        <v>24</v>
      </c>
      <c r="I2122" t="str">
        <f t="shared" si="33"/>
        <v>Nebris micropsButterfish</v>
      </c>
    </row>
    <row r="2123" spans="1:9" x14ac:dyDescent="0.35">
      <c r="A2123">
        <v>33</v>
      </c>
      <c r="B2123">
        <v>2018</v>
      </c>
      <c r="C2123">
        <v>3</v>
      </c>
      <c r="D2123" t="s">
        <v>174</v>
      </c>
      <c r="E2123" t="s">
        <v>349</v>
      </c>
      <c r="F2123" t="s">
        <v>15</v>
      </c>
      <c r="G2123" t="s">
        <v>16</v>
      </c>
      <c r="H2123" s="4">
        <v>11</v>
      </c>
      <c r="I2123" t="str">
        <f t="shared" si="33"/>
        <v>Nebris micropsButterfish</v>
      </c>
    </row>
    <row r="2124" spans="1:9" x14ac:dyDescent="0.35">
      <c r="A2124">
        <v>33</v>
      </c>
      <c r="B2124">
        <v>2018</v>
      </c>
      <c r="C2124">
        <v>3</v>
      </c>
      <c r="D2124" t="s">
        <v>174</v>
      </c>
      <c r="E2124" t="s">
        <v>349</v>
      </c>
      <c r="F2124" t="s">
        <v>15</v>
      </c>
      <c r="G2124" t="s">
        <v>16</v>
      </c>
      <c r="H2124" s="4">
        <v>21</v>
      </c>
      <c r="I2124" t="str">
        <f t="shared" si="33"/>
        <v>Nebris micropsButterfish</v>
      </c>
    </row>
    <row r="2125" spans="1:9" x14ac:dyDescent="0.35">
      <c r="A2125">
        <v>33</v>
      </c>
      <c r="B2125">
        <v>2018</v>
      </c>
      <c r="C2125">
        <v>3</v>
      </c>
      <c r="D2125" t="s">
        <v>174</v>
      </c>
      <c r="E2125" t="s">
        <v>349</v>
      </c>
      <c r="F2125" t="s">
        <v>15</v>
      </c>
      <c r="G2125" t="s">
        <v>16</v>
      </c>
      <c r="H2125" s="4">
        <v>22</v>
      </c>
      <c r="I2125" t="str">
        <f t="shared" si="33"/>
        <v>Nebris micropsButterfish</v>
      </c>
    </row>
    <row r="2126" spans="1:9" x14ac:dyDescent="0.35">
      <c r="A2126">
        <v>33</v>
      </c>
      <c r="B2126">
        <v>2018</v>
      </c>
      <c r="C2126">
        <v>3</v>
      </c>
      <c r="D2126" t="s">
        <v>174</v>
      </c>
      <c r="E2126" t="s">
        <v>349</v>
      </c>
      <c r="F2126" t="s">
        <v>15</v>
      </c>
      <c r="G2126" t="s">
        <v>16</v>
      </c>
      <c r="H2126" s="4">
        <v>23</v>
      </c>
      <c r="I2126" t="str">
        <f t="shared" si="33"/>
        <v>Nebris micropsButterfish</v>
      </c>
    </row>
    <row r="2127" spans="1:9" x14ac:dyDescent="0.35">
      <c r="A2127">
        <v>33</v>
      </c>
      <c r="B2127">
        <v>2018</v>
      </c>
      <c r="C2127">
        <v>3</v>
      </c>
      <c r="D2127" t="s">
        <v>174</v>
      </c>
      <c r="E2127" t="s">
        <v>349</v>
      </c>
      <c r="F2127" t="s">
        <v>15</v>
      </c>
      <c r="G2127" t="s">
        <v>16</v>
      </c>
      <c r="H2127" s="4">
        <v>32</v>
      </c>
      <c r="I2127" t="str">
        <f t="shared" si="33"/>
        <v>Nebris micropsButterfish</v>
      </c>
    </row>
    <row r="2128" spans="1:9" x14ac:dyDescent="0.35">
      <c r="A2128">
        <v>33</v>
      </c>
      <c r="B2128">
        <v>2018</v>
      </c>
      <c r="C2128">
        <v>3</v>
      </c>
      <c r="D2128" t="s">
        <v>174</v>
      </c>
      <c r="E2128" t="s">
        <v>349</v>
      </c>
      <c r="F2128" t="s">
        <v>15</v>
      </c>
      <c r="G2128" t="s">
        <v>16</v>
      </c>
      <c r="H2128" s="4">
        <v>33</v>
      </c>
      <c r="I2128" t="str">
        <f t="shared" si="33"/>
        <v>Nebris micropsButterfish</v>
      </c>
    </row>
    <row r="2129" spans="1:9" x14ac:dyDescent="0.35">
      <c r="A2129">
        <v>33</v>
      </c>
      <c r="B2129">
        <v>2018</v>
      </c>
      <c r="C2129">
        <v>3</v>
      </c>
      <c r="D2129" t="s">
        <v>174</v>
      </c>
      <c r="E2129" t="s">
        <v>349</v>
      </c>
      <c r="F2129" t="s">
        <v>15</v>
      </c>
      <c r="G2129" t="s">
        <v>16</v>
      </c>
      <c r="H2129" s="4">
        <v>32</v>
      </c>
      <c r="I2129" t="str">
        <f t="shared" si="33"/>
        <v>Nebris micropsButterfish</v>
      </c>
    </row>
    <row r="2130" spans="1:9" x14ac:dyDescent="0.35">
      <c r="A2130">
        <v>33</v>
      </c>
      <c r="B2130">
        <v>2018</v>
      </c>
      <c r="C2130">
        <v>3</v>
      </c>
      <c r="D2130" t="s">
        <v>174</v>
      </c>
      <c r="E2130" t="s">
        <v>349</v>
      </c>
      <c r="F2130" t="s">
        <v>15</v>
      </c>
      <c r="G2130" t="s">
        <v>16</v>
      </c>
      <c r="H2130" s="4">
        <v>25</v>
      </c>
      <c r="I2130" t="str">
        <f t="shared" si="33"/>
        <v>Nebris micropsButterfish</v>
      </c>
    </row>
    <row r="2131" spans="1:9" x14ac:dyDescent="0.35">
      <c r="A2131">
        <v>33</v>
      </c>
      <c r="B2131">
        <v>2018</v>
      </c>
      <c r="C2131">
        <v>3</v>
      </c>
      <c r="D2131" t="s">
        <v>174</v>
      </c>
      <c r="E2131" t="s">
        <v>349</v>
      </c>
      <c r="F2131" t="s">
        <v>15</v>
      </c>
      <c r="G2131" t="s">
        <v>16</v>
      </c>
      <c r="H2131" s="4">
        <v>22</v>
      </c>
      <c r="I2131" t="str">
        <f t="shared" si="33"/>
        <v>Nebris micropsButterfish</v>
      </c>
    </row>
    <row r="2132" spans="1:9" x14ac:dyDescent="0.35">
      <c r="A2132">
        <v>33</v>
      </c>
      <c r="B2132">
        <v>2018</v>
      </c>
      <c r="C2132">
        <v>3</v>
      </c>
      <c r="D2132" t="s">
        <v>174</v>
      </c>
      <c r="E2132" t="s">
        <v>349</v>
      </c>
      <c r="F2132" t="s">
        <v>15</v>
      </c>
      <c r="G2132" t="s">
        <v>16</v>
      </c>
      <c r="H2132" s="4">
        <v>32</v>
      </c>
      <c r="I2132" t="str">
        <f t="shared" si="33"/>
        <v>Nebris micropsButterfish</v>
      </c>
    </row>
    <row r="2133" spans="1:9" x14ac:dyDescent="0.35">
      <c r="A2133">
        <v>33</v>
      </c>
      <c r="B2133">
        <v>2018</v>
      </c>
      <c r="C2133">
        <v>3</v>
      </c>
      <c r="D2133" t="s">
        <v>174</v>
      </c>
      <c r="E2133" t="s">
        <v>349</v>
      </c>
      <c r="F2133" t="s">
        <v>15</v>
      </c>
      <c r="G2133" t="s">
        <v>16</v>
      </c>
      <c r="H2133" s="4">
        <v>28</v>
      </c>
      <c r="I2133" t="str">
        <f t="shared" si="33"/>
        <v>Nebris micropsButterfish</v>
      </c>
    </row>
    <row r="2134" spans="1:9" x14ac:dyDescent="0.35">
      <c r="A2134">
        <v>33</v>
      </c>
      <c r="B2134">
        <v>2018</v>
      </c>
      <c r="C2134">
        <v>3</v>
      </c>
      <c r="D2134" t="s">
        <v>174</v>
      </c>
      <c r="E2134" t="s">
        <v>349</v>
      </c>
      <c r="F2134" t="s">
        <v>15</v>
      </c>
      <c r="G2134" t="s">
        <v>16</v>
      </c>
      <c r="H2134" s="4">
        <v>23</v>
      </c>
      <c r="I2134" t="str">
        <f t="shared" si="33"/>
        <v>Nebris micropsButterfish</v>
      </c>
    </row>
    <row r="2135" spans="1:9" x14ac:dyDescent="0.35">
      <c r="A2135">
        <v>33</v>
      </c>
      <c r="B2135">
        <v>2018</v>
      </c>
      <c r="C2135">
        <v>3</v>
      </c>
      <c r="D2135" t="s">
        <v>174</v>
      </c>
      <c r="E2135" t="s">
        <v>349</v>
      </c>
      <c r="F2135" t="s">
        <v>15</v>
      </c>
      <c r="G2135" t="s">
        <v>16</v>
      </c>
      <c r="H2135" s="4">
        <v>29</v>
      </c>
      <c r="I2135" t="str">
        <f t="shared" si="33"/>
        <v>Nebris micropsButterfish</v>
      </c>
    </row>
    <row r="2136" spans="1:9" x14ac:dyDescent="0.35">
      <c r="A2136">
        <v>33</v>
      </c>
      <c r="B2136">
        <v>2018</v>
      </c>
      <c r="C2136">
        <v>3</v>
      </c>
      <c r="D2136" t="s">
        <v>174</v>
      </c>
      <c r="E2136" t="s">
        <v>349</v>
      </c>
      <c r="F2136" t="s">
        <v>15</v>
      </c>
      <c r="G2136" t="s">
        <v>16</v>
      </c>
      <c r="H2136" s="4">
        <v>23</v>
      </c>
      <c r="I2136" t="str">
        <f t="shared" si="33"/>
        <v>Nebris micropsButterfish</v>
      </c>
    </row>
    <row r="2137" spans="1:9" x14ac:dyDescent="0.35">
      <c r="A2137">
        <v>33</v>
      </c>
      <c r="B2137">
        <v>2018</v>
      </c>
      <c r="C2137">
        <v>3</v>
      </c>
      <c r="D2137" t="s">
        <v>174</v>
      </c>
      <c r="E2137" t="s">
        <v>349</v>
      </c>
      <c r="F2137" t="s">
        <v>15</v>
      </c>
      <c r="G2137" t="s">
        <v>16</v>
      </c>
      <c r="H2137" s="4">
        <v>17</v>
      </c>
      <c r="I2137" t="str">
        <f t="shared" si="33"/>
        <v>Nebris micropsButterfish</v>
      </c>
    </row>
    <row r="2138" spans="1:9" x14ac:dyDescent="0.35">
      <c r="A2138">
        <v>33</v>
      </c>
      <c r="B2138">
        <v>2018</v>
      </c>
      <c r="C2138">
        <v>3</v>
      </c>
      <c r="D2138" t="s">
        <v>174</v>
      </c>
      <c r="E2138" t="s">
        <v>349</v>
      </c>
      <c r="F2138" t="s">
        <v>15</v>
      </c>
      <c r="G2138" t="s">
        <v>16</v>
      </c>
      <c r="H2138" s="4">
        <v>15</v>
      </c>
      <c r="I2138" t="str">
        <f t="shared" si="33"/>
        <v>Nebris micropsButterfish</v>
      </c>
    </row>
    <row r="2139" spans="1:9" x14ac:dyDescent="0.35">
      <c r="A2139">
        <v>33</v>
      </c>
      <c r="B2139">
        <v>2018</v>
      </c>
      <c r="C2139">
        <v>3</v>
      </c>
      <c r="D2139" t="s">
        <v>174</v>
      </c>
      <c r="E2139" t="s">
        <v>349</v>
      </c>
      <c r="F2139" t="s">
        <v>15</v>
      </c>
      <c r="G2139" t="s">
        <v>16</v>
      </c>
      <c r="H2139" s="4">
        <v>27</v>
      </c>
      <c r="I2139" t="str">
        <f t="shared" si="33"/>
        <v>Nebris micropsButterfish</v>
      </c>
    </row>
    <row r="2140" spans="1:9" x14ac:dyDescent="0.35">
      <c r="A2140">
        <v>33</v>
      </c>
      <c r="B2140">
        <v>2018</v>
      </c>
      <c r="C2140">
        <v>3</v>
      </c>
      <c r="D2140" t="s">
        <v>174</v>
      </c>
      <c r="E2140" t="s">
        <v>349</v>
      </c>
      <c r="F2140" t="s">
        <v>15</v>
      </c>
      <c r="G2140" t="s">
        <v>16</v>
      </c>
      <c r="H2140" s="4">
        <v>23</v>
      </c>
      <c r="I2140" t="str">
        <f t="shared" si="33"/>
        <v>Nebris micropsButterfish</v>
      </c>
    </row>
    <row r="2141" spans="1:9" x14ac:dyDescent="0.35">
      <c r="A2141">
        <v>33</v>
      </c>
      <c r="B2141">
        <v>2018</v>
      </c>
      <c r="C2141">
        <v>3</v>
      </c>
      <c r="D2141" t="s">
        <v>174</v>
      </c>
      <c r="E2141" t="s">
        <v>349</v>
      </c>
      <c r="F2141" t="s">
        <v>15</v>
      </c>
      <c r="G2141" t="s">
        <v>16</v>
      </c>
      <c r="H2141" s="4">
        <v>22</v>
      </c>
      <c r="I2141" t="str">
        <f t="shared" si="33"/>
        <v>Nebris micropsButterfish</v>
      </c>
    </row>
    <row r="2142" spans="1:9" x14ac:dyDescent="0.35">
      <c r="A2142">
        <v>33</v>
      </c>
      <c r="B2142">
        <v>2018</v>
      </c>
      <c r="C2142">
        <v>3</v>
      </c>
      <c r="D2142" t="s">
        <v>174</v>
      </c>
      <c r="E2142" t="s">
        <v>349</v>
      </c>
      <c r="F2142" t="s">
        <v>15</v>
      </c>
      <c r="G2142" t="s">
        <v>16</v>
      </c>
      <c r="H2142" s="4">
        <v>21</v>
      </c>
      <c r="I2142" t="str">
        <f t="shared" si="33"/>
        <v>Nebris micropsButterfish</v>
      </c>
    </row>
    <row r="2143" spans="1:9" x14ac:dyDescent="0.35">
      <c r="A2143">
        <v>33</v>
      </c>
      <c r="B2143">
        <v>2018</v>
      </c>
      <c r="C2143">
        <v>3</v>
      </c>
      <c r="D2143" t="s">
        <v>174</v>
      </c>
      <c r="E2143" t="s">
        <v>349</v>
      </c>
      <c r="F2143" t="s">
        <v>15</v>
      </c>
      <c r="G2143" t="s">
        <v>16</v>
      </c>
      <c r="H2143" s="4">
        <v>28</v>
      </c>
      <c r="I2143" t="str">
        <f t="shared" si="33"/>
        <v>Nebris micropsButterfish</v>
      </c>
    </row>
    <row r="2144" spans="1:9" x14ac:dyDescent="0.35">
      <c r="A2144">
        <v>33</v>
      </c>
      <c r="B2144">
        <v>2018</v>
      </c>
      <c r="C2144">
        <v>3</v>
      </c>
      <c r="D2144" t="s">
        <v>174</v>
      </c>
      <c r="E2144" t="s">
        <v>349</v>
      </c>
      <c r="F2144" t="s">
        <v>42</v>
      </c>
      <c r="G2144" t="s">
        <v>126</v>
      </c>
      <c r="H2144" s="4">
        <v>11</v>
      </c>
      <c r="I2144" t="str">
        <f t="shared" si="33"/>
        <v>Paralonchurus  elegansChinese Butterfish</v>
      </c>
    </row>
    <row r="2145" spans="1:9" x14ac:dyDescent="0.35">
      <c r="A2145">
        <v>33</v>
      </c>
      <c r="B2145">
        <v>2018</v>
      </c>
      <c r="C2145">
        <v>3</v>
      </c>
      <c r="D2145" t="s">
        <v>174</v>
      </c>
      <c r="E2145" t="s">
        <v>349</v>
      </c>
      <c r="F2145" t="s">
        <v>42</v>
      </c>
      <c r="G2145" t="s">
        <v>126</v>
      </c>
      <c r="H2145" s="4">
        <v>19</v>
      </c>
      <c r="I2145" t="str">
        <f t="shared" si="33"/>
        <v>Paralonchurus  elegansChinese Butterfish</v>
      </c>
    </row>
    <row r="2146" spans="1:9" x14ac:dyDescent="0.35">
      <c r="A2146">
        <v>33</v>
      </c>
      <c r="B2146">
        <v>2018</v>
      </c>
      <c r="C2146">
        <v>3</v>
      </c>
      <c r="D2146" t="s">
        <v>174</v>
      </c>
      <c r="E2146" t="s">
        <v>349</v>
      </c>
      <c r="F2146" t="s">
        <v>42</v>
      </c>
      <c r="G2146" t="s">
        <v>126</v>
      </c>
      <c r="H2146" s="4">
        <v>25</v>
      </c>
      <c r="I2146" t="str">
        <f t="shared" si="33"/>
        <v>Paralonchurus  elegansChinese Butterfish</v>
      </c>
    </row>
    <row r="2147" spans="1:9" x14ac:dyDescent="0.35">
      <c r="A2147">
        <v>33</v>
      </c>
      <c r="B2147">
        <v>2018</v>
      </c>
      <c r="C2147">
        <v>3</v>
      </c>
      <c r="D2147" t="s">
        <v>174</v>
      </c>
      <c r="E2147" t="s">
        <v>349</v>
      </c>
      <c r="F2147" t="s">
        <v>42</v>
      </c>
      <c r="G2147" t="s">
        <v>126</v>
      </c>
      <c r="H2147" s="4">
        <v>22</v>
      </c>
      <c r="I2147" t="str">
        <f t="shared" si="33"/>
        <v>Paralonchurus  elegansChinese Butterfish</v>
      </c>
    </row>
    <row r="2148" spans="1:9" x14ac:dyDescent="0.35">
      <c r="A2148">
        <v>33</v>
      </c>
      <c r="B2148">
        <v>2018</v>
      </c>
      <c r="C2148">
        <v>3</v>
      </c>
      <c r="D2148" t="s">
        <v>174</v>
      </c>
      <c r="E2148" t="s">
        <v>349</v>
      </c>
      <c r="F2148" t="s">
        <v>42</v>
      </c>
      <c r="G2148" t="s">
        <v>126</v>
      </c>
      <c r="H2148" s="4">
        <v>20</v>
      </c>
      <c r="I2148" t="str">
        <f t="shared" si="33"/>
        <v>Paralonchurus  elegansChinese Butterfish</v>
      </c>
    </row>
    <row r="2149" spans="1:9" x14ac:dyDescent="0.35">
      <c r="A2149">
        <v>33</v>
      </c>
      <c r="B2149">
        <v>2018</v>
      </c>
      <c r="C2149">
        <v>3</v>
      </c>
      <c r="D2149" t="s">
        <v>174</v>
      </c>
      <c r="E2149" t="s">
        <v>349</v>
      </c>
      <c r="F2149" t="s">
        <v>42</v>
      </c>
      <c r="G2149" t="s">
        <v>126</v>
      </c>
      <c r="H2149" s="4">
        <v>21</v>
      </c>
      <c r="I2149" t="str">
        <f t="shared" si="33"/>
        <v>Paralonchurus  elegansChinese Butterfish</v>
      </c>
    </row>
    <row r="2150" spans="1:9" x14ac:dyDescent="0.35">
      <c r="A2150">
        <v>33</v>
      </c>
      <c r="B2150">
        <v>2018</v>
      </c>
      <c r="C2150">
        <v>3</v>
      </c>
      <c r="D2150" t="s">
        <v>174</v>
      </c>
      <c r="E2150" t="s">
        <v>349</v>
      </c>
      <c r="F2150" t="s">
        <v>42</v>
      </c>
      <c r="G2150" t="s">
        <v>126</v>
      </c>
      <c r="H2150" s="4">
        <v>24</v>
      </c>
      <c r="I2150" t="str">
        <f t="shared" si="33"/>
        <v>Paralonchurus  elegansChinese Butterfish</v>
      </c>
    </row>
    <row r="2151" spans="1:9" x14ac:dyDescent="0.35">
      <c r="A2151">
        <v>33</v>
      </c>
      <c r="B2151">
        <v>2018</v>
      </c>
      <c r="C2151">
        <v>3</v>
      </c>
      <c r="D2151" t="s">
        <v>174</v>
      </c>
      <c r="E2151" t="s">
        <v>349</v>
      </c>
      <c r="F2151" t="s">
        <v>42</v>
      </c>
      <c r="G2151" t="s">
        <v>126</v>
      </c>
      <c r="H2151" s="4">
        <v>20</v>
      </c>
      <c r="I2151" t="str">
        <f t="shared" si="33"/>
        <v>Paralonchurus  elegansChinese Butterfish</v>
      </c>
    </row>
    <row r="2152" spans="1:9" x14ac:dyDescent="0.35">
      <c r="A2152">
        <v>33</v>
      </c>
      <c r="B2152">
        <v>2018</v>
      </c>
      <c r="C2152">
        <v>3</v>
      </c>
      <c r="D2152" t="s">
        <v>174</v>
      </c>
      <c r="E2152" t="s">
        <v>349</v>
      </c>
      <c r="F2152" t="s">
        <v>42</v>
      </c>
      <c r="G2152" t="s">
        <v>126</v>
      </c>
      <c r="H2152" s="4">
        <v>11</v>
      </c>
      <c r="I2152" t="str">
        <f t="shared" si="33"/>
        <v>Paralonchurus  elegansChinese Butterfish</v>
      </c>
    </row>
    <row r="2153" spans="1:9" x14ac:dyDescent="0.35">
      <c r="A2153">
        <v>33</v>
      </c>
      <c r="B2153">
        <v>2018</v>
      </c>
      <c r="C2153">
        <v>3</v>
      </c>
      <c r="D2153" t="s">
        <v>174</v>
      </c>
      <c r="E2153" t="s">
        <v>349</v>
      </c>
      <c r="F2153" t="s">
        <v>42</v>
      </c>
      <c r="G2153" t="s">
        <v>126</v>
      </c>
      <c r="H2153" s="4">
        <v>12</v>
      </c>
      <c r="I2153" t="str">
        <f t="shared" si="33"/>
        <v>Paralonchurus  elegansChinese Butterfish</v>
      </c>
    </row>
    <row r="2154" spans="1:9" x14ac:dyDescent="0.35">
      <c r="A2154">
        <v>33</v>
      </c>
      <c r="B2154">
        <v>2018</v>
      </c>
      <c r="C2154">
        <v>3</v>
      </c>
      <c r="D2154" t="s">
        <v>174</v>
      </c>
      <c r="E2154" t="s">
        <v>349</v>
      </c>
      <c r="F2154" t="s">
        <v>42</v>
      </c>
      <c r="G2154" t="s">
        <v>126</v>
      </c>
      <c r="H2154" s="4">
        <v>18</v>
      </c>
      <c r="I2154" t="str">
        <f t="shared" si="33"/>
        <v>Paralonchurus  elegansChinese Butterfish</v>
      </c>
    </row>
    <row r="2155" spans="1:9" x14ac:dyDescent="0.35">
      <c r="A2155">
        <v>33</v>
      </c>
      <c r="B2155">
        <v>2018</v>
      </c>
      <c r="C2155">
        <v>3</v>
      </c>
      <c r="D2155" t="s">
        <v>174</v>
      </c>
      <c r="E2155" t="s">
        <v>349</v>
      </c>
      <c r="F2155" t="s">
        <v>42</v>
      </c>
      <c r="G2155" t="s">
        <v>126</v>
      </c>
      <c r="H2155" s="4">
        <v>19</v>
      </c>
      <c r="I2155" t="str">
        <f t="shared" si="33"/>
        <v>Paralonchurus  elegansChinese Butterfish</v>
      </c>
    </row>
    <row r="2156" spans="1:9" x14ac:dyDescent="0.35">
      <c r="A2156">
        <v>33</v>
      </c>
      <c r="B2156">
        <v>2018</v>
      </c>
      <c r="C2156">
        <v>3</v>
      </c>
      <c r="D2156" t="s">
        <v>174</v>
      </c>
      <c r="E2156" t="s">
        <v>349</v>
      </c>
      <c r="F2156" t="s">
        <v>42</v>
      </c>
      <c r="G2156" t="s">
        <v>126</v>
      </c>
      <c r="H2156" s="4">
        <v>27</v>
      </c>
      <c r="I2156" t="str">
        <f t="shared" si="33"/>
        <v>Paralonchurus  elegansChinese Butterfish</v>
      </c>
    </row>
    <row r="2157" spans="1:9" x14ac:dyDescent="0.35">
      <c r="A2157">
        <v>33</v>
      </c>
      <c r="B2157">
        <v>2018</v>
      </c>
      <c r="C2157">
        <v>3</v>
      </c>
      <c r="D2157" t="s">
        <v>174</v>
      </c>
      <c r="E2157" t="s">
        <v>349</v>
      </c>
      <c r="F2157" t="s">
        <v>42</v>
      </c>
      <c r="G2157" t="s">
        <v>126</v>
      </c>
      <c r="H2157" s="4">
        <v>21</v>
      </c>
      <c r="I2157" t="str">
        <f t="shared" si="33"/>
        <v>Paralonchurus  elegansChinese Butterfish</v>
      </c>
    </row>
    <row r="2158" spans="1:9" x14ac:dyDescent="0.35">
      <c r="A2158">
        <v>33</v>
      </c>
      <c r="B2158">
        <v>2018</v>
      </c>
      <c r="C2158">
        <v>3</v>
      </c>
      <c r="D2158" t="s">
        <v>174</v>
      </c>
      <c r="E2158" t="s">
        <v>349</v>
      </c>
      <c r="F2158" t="s">
        <v>42</v>
      </c>
      <c r="G2158" t="s">
        <v>126</v>
      </c>
      <c r="H2158" s="4">
        <v>23</v>
      </c>
      <c r="I2158" t="str">
        <f t="shared" si="33"/>
        <v>Paralonchurus  elegansChinese Butterfish</v>
      </c>
    </row>
    <row r="2159" spans="1:9" x14ac:dyDescent="0.35">
      <c r="A2159">
        <v>33</v>
      </c>
      <c r="B2159">
        <v>2018</v>
      </c>
      <c r="C2159">
        <v>3</v>
      </c>
      <c r="D2159" t="s">
        <v>174</v>
      </c>
      <c r="E2159" t="s">
        <v>349</v>
      </c>
      <c r="F2159" t="s">
        <v>42</v>
      </c>
      <c r="G2159" t="s">
        <v>126</v>
      </c>
      <c r="H2159" s="4">
        <v>23</v>
      </c>
      <c r="I2159" t="str">
        <f t="shared" si="33"/>
        <v>Paralonchurus  elegansChinese Butterfish</v>
      </c>
    </row>
    <row r="2160" spans="1:9" x14ac:dyDescent="0.35">
      <c r="A2160">
        <v>33</v>
      </c>
      <c r="B2160">
        <v>2018</v>
      </c>
      <c r="C2160">
        <v>3</v>
      </c>
      <c r="D2160" t="s">
        <v>174</v>
      </c>
      <c r="E2160" t="s">
        <v>349</v>
      </c>
      <c r="F2160" t="s">
        <v>42</v>
      </c>
      <c r="G2160" t="s">
        <v>126</v>
      </c>
      <c r="H2160" s="4">
        <v>17</v>
      </c>
      <c r="I2160" t="str">
        <f t="shared" si="33"/>
        <v>Paralonchurus  elegansChinese Butterfish</v>
      </c>
    </row>
    <row r="2161" spans="1:9" x14ac:dyDescent="0.35">
      <c r="A2161">
        <v>33</v>
      </c>
      <c r="B2161">
        <v>2018</v>
      </c>
      <c r="C2161">
        <v>3</v>
      </c>
      <c r="D2161" t="s">
        <v>174</v>
      </c>
      <c r="E2161" t="s">
        <v>349</v>
      </c>
      <c r="F2161" t="s">
        <v>42</v>
      </c>
      <c r="G2161" t="s">
        <v>126</v>
      </c>
      <c r="H2161" s="4">
        <v>19</v>
      </c>
      <c r="I2161" t="str">
        <f t="shared" si="33"/>
        <v>Paralonchurus  elegansChinese Butterfish</v>
      </c>
    </row>
    <row r="2162" spans="1:9" x14ac:dyDescent="0.35">
      <c r="A2162">
        <v>33</v>
      </c>
      <c r="B2162">
        <v>2018</v>
      </c>
      <c r="C2162">
        <v>3</v>
      </c>
      <c r="D2162" t="s">
        <v>174</v>
      </c>
      <c r="E2162" t="s">
        <v>349</v>
      </c>
      <c r="F2162" t="s">
        <v>42</v>
      </c>
      <c r="G2162" t="s">
        <v>126</v>
      </c>
      <c r="H2162" s="4">
        <v>21</v>
      </c>
      <c r="I2162" t="str">
        <f t="shared" si="33"/>
        <v>Paralonchurus  elegansChinese Butterfish</v>
      </c>
    </row>
    <row r="2163" spans="1:9" x14ac:dyDescent="0.35">
      <c r="A2163">
        <v>33</v>
      </c>
      <c r="B2163">
        <v>2018</v>
      </c>
      <c r="C2163">
        <v>3</v>
      </c>
      <c r="D2163" t="s">
        <v>174</v>
      </c>
      <c r="E2163" t="s">
        <v>349</v>
      </c>
      <c r="F2163" t="s">
        <v>42</v>
      </c>
      <c r="G2163" t="s">
        <v>126</v>
      </c>
      <c r="H2163" s="4">
        <v>20</v>
      </c>
      <c r="I2163" t="str">
        <f t="shared" si="33"/>
        <v>Paralonchurus  elegansChinese Butterfish</v>
      </c>
    </row>
    <row r="2164" spans="1:9" x14ac:dyDescent="0.35">
      <c r="A2164">
        <v>33</v>
      </c>
      <c r="B2164">
        <v>2018</v>
      </c>
      <c r="C2164">
        <v>3</v>
      </c>
      <c r="D2164" t="s">
        <v>174</v>
      </c>
      <c r="E2164" t="s">
        <v>349</v>
      </c>
      <c r="F2164" t="s">
        <v>42</v>
      </c>
      <c r="G2164" t="s">
        <v>126</v>
      </c>
      <c r="H2164" s="4">
        <v>21</v>
      </c>
      <c r="I2164" t="str">
        <f t="shared" si="33"/>
        <v>Paralonchurus  elegansChinese Butterfish</v>
      </c>
    </row>
    <row r="2165" spans="1:9" x14ac:dyDescent="0.35">
      <c r="A2165">
        <v>33</v>
      </c>
      <c r="B2165">
        <v>2018</v>
      </c>
      <c r="C2165">
        <v>3</v>
      </c>
      <c r="D2165" t="s">
        <v>174</v>
      </c>
      <c r="E2165" t="s">
        <v>349</v>
      </c>
      <c r="F2165" t="s">
        <v>42</v>
      </c>
      <c r="G2165" t="s">
        <v>126</v>
      </c>
      <c r="H2165" s="4">
        <v>24</v>
      </c>
      <c r="I2165" t="str">
        <f t="shared" si="33"/>
        <v>Paralonchurus  elegansChinese Butterfish</v>
      </c>
    </row>
    <row r="2166" spans="1:9" x14ac:dyDescent="0.35">
      <c r="A2166">
        <v>33</v>
      </c>
      <c r="B2166">
        <v>2018</v>
      </c>
      <c r="C2166">
        <v>3</v>
      </c>
      <c r="D2166" t="s">
        <v>174</v>
      </c>
      <c r="E2166" t="s">
        <v>349</v>
      </c>
      <c r="F2166" t="s">
        <v>42</v>
      </c>
      <c r="G2166" t="s">
        <v>126</v>
      </c>
      <c r="H2166" s="4">
        <v>19</v>
      </c>
      <c r="I2166" t="str">
        <f t="shared" si="33"/>
        <v>Paralonchurus  elegansChinese Butterfish</v>
      </c>
    </row>
    <row r="2167" spans="1:9" x14ac:dyDescent="0.35">
      <c r="A2167">
        <v>33</v>
      </c>
      <c r="B2167">
        <v>2018</v>
      </c>
      <c r="C2167">
        <v>3</v>
      </c>
      <c r="D2167" t="s">
        <v>174</v>
      </c>
      <c r="E2167" t="s">
        <v>349</v>
      </c>
      <c r="F2167" t="s">
        <v>42</v>
      </c>
      <c r="G2167" t="s">
        <v>126</v>
      </c>
      <c r="H2167" s="4">
        <v>19</v>
      </c>
      <c r="I2167" t="str">
        <f t="shared" si="33"/>
        <v>Paralonchurus  elegansChinese Butterfish</v>
      </c>
    </row>
    <row r="2168" spans="1:9" x14ac:dyDescent="0.35">
      <c r="A2168">
        <v>33</v>
      </c>
      <c r="B2168">
        <v>2018</v>
      </c>
      <c r="C2168">
        <v>3</v>
      </c>
      <c r="D2168" t="s">
        <v>174</v>
      </c>
      <c r="E2168" t="s">
        <v>349</v>
      </c>
      <c r="F2168" t="s">
        <v>42</v>
      </c>
      <c r="G2168" t="s">
        <v>126</v>
      </c>
      <c r="H2168" s="4">
        <v>21</v>
      </c>
      <c r="I2168" t="str">
        <f t="shared" si="33"/>
        <v>Paralonchurus  elegansChinese Butterfish</v>
      </c>
    </row>
    <row r="2169" spans="1:9" x14ac:dyDescent="0.35">
      <c r="A2169">
        <v>33</v>
      </c>
      <c r="B2169">
        <v>2018</v>
      </c>
      <c r="C2169">
        <v>3</v>
      </c>
      <c r="D2169" t="s">
        <v>174</v>
      </c>
      <c r="E2169" t="s">
        <v>349</v>
      </c>
      <c r="F2169" t="s">
        <v>42</v>
      </c>
      <c r="G2169" t="s">
        <v>126</v>
      </c>
      <c r="H2169" s="4">
        <v>21</v>
      </c>
      <c r="I2169" t="str">
        <f t="shared" si="33"/>
        <v>Paralonchurus  elegansChinese Butterfish</v>
      </c>
    </row>
    <row r="2170" spans="1:9" x14ac:dyDescent="0.35">
      <c r="A2170">
        <v>33</v>
      </c>
      <c r="B2170">
        <v>2018</v>
      </c>
      <c r="C2170">
        <v>3</v>
      </c>
      <c r="D2170" t="s">
        <v>174</v>
      </c>
      <c r="E2170" t="s">
        <v>349</v>
      </c>
      <c r="F2170" t="s">
        <v>42</v>
      </c>
      <c r="G2170" t="s">
        <v>126</v>
      </c>
      <c r="H2170" s="4">
        <v>24</v>
      </c>
      <c r="I2170" t="str">
        <f t="shared" si="33"/>
        <v>Paralonchurus  elegansChinese Butterfish</v>
      </c>
    </row>
    <row r="2171" spans="1:9" x14ac:dyDescent="0.35">
      <c r="A2171">
        <v>33</v>
      </c>
      <c r="B2171">
        <v>2018</v>
      </c>
      <c r="C2171">
        <v>3</v>
      </c>
      <c r="D2171" t="s">
        <v>174</v>
      </c>
      <c r="E2171" t="s">
        <v>349</v>
      </c>
      <c r="F2171" t="s">
        <v>42</v>
      </c>
      <c r="G2171" t="s">
        <v>126</v>
      </c>
      <c r="H2171" s="4">
        <v>19</v>
      </c>
      <c r="I2171" t="str">
        <f t="shared" si="33"/>
        <v>Paralonchurus  elegansChinese Butterfish</v>
      </c>
    </row>
    <row r="2172" spans="1:9" x14ac:dyDescent="0.35">
      <c r="A2172">
        <v>33</v>
      </c>
      <c r="B2172">
        <v>2018</v>
      </c>
      <c r="C2172">
        <v>3</v>
      </c>
      <c r="D2172" t="s">
        <v>174</v>
      </c>
      <c r="E2172" t="s">
        <v>349</v>
      </c>
      <c r="F2172" t="s">
        <v>42</v>
      </c>
      <c r="G2172" t="s">
        <v>126</v>
      </c>
      <c r="H2172" s="4">
        <v>14</v>
      </c>
      <c r="I2172" t="str">
        <f t="shared" si="33"/>
        <v>Paralonchurus  elegansChinese Butterfish</v>
      </c>
    </row>
    <row r="2173" spans="1:9" x14ac:dyDescent="0.35">
      <c r="A2173">
        <v>33</v>
      </c>
      <c r="B2173">
        <v>2018</v>
      </c>
      <c r="C2173">
        <v>3</v>
      </c>
      <c r="D2173" t="s">
        <v>174</v>
      </c>
      <c r="E2173" t="s">
        <v>349</v>
      </c>
      <c r="F2173" t="s">
        <v>42</v>
      </c>
      <c r="G2173" t="s">
        <v>126</v>
      </c>
      <c r="H2173" s="4">
        <v>14</v>
      </c>
      <c r="I2173" t="str">
        <f t="shared" si="33"/>
        <v>Paralonchurus  elegansChinese Butterfish</v>
      </c>
    </row>
    <row r="2174" spans="1:9" x14ac:dyDescent="0.35">
      <c r="A2174">
        <v>33</v>
      </c>
      <c r="B2174">
        <v>2018</v>
      </c>
      <c r="C2174">
        <v>3</v>
      </c>
      <c r="D2174" t="s">
        <v>174</v>
      </c>
      <c r="E2174" t="s">
        <v>349</v>
      </c>
      <c r="F2174" t="s">
        <v>43</v>
      </c>
      <c r="G2174" t="s">
        <v>57</v>
      </c>
      <c r="H2174" s="4">
        <v>23</v>
      </c>
      <c r="I2174" t="str">
        <f t="shared" si="33"/>
        <v>Cynoscion virescensSeatrout</v>
      </c>
    </row>
    <row r="2175" spans="1:9" x14ac:dyDescent="0.35">
      <c r="A2175">
        <v>33</v>
      </c>
      <c r="B2175">
        <v>2018</v>
      </c>
      <c r="C2175">
        <v>3</v>
      </c>
      <c r="D2175" t="s">
        <v>174</v>
      </c>
      <c r="E2175" t="s">
        <v>349</v>
      </c>
      <c r="F2175" t="s">
        <v>43</v>
      </c>
      <c r="G2175" t="s">
        <v>57</v>
      </c>
      <c r="H2175" s="4">
        <v>20</v>
      </c>
      <c r="I2175" t="str">
        <f t="shared" si="33"/>
        <v>Cynoscion virescensSeatrout</v>
      </c>
    </row>
    <row r="2176" spans="1:9" x14ac:dyDescent="0.35">
      <c r="A2176">
        <v>33</v>
      </c>
      <c r="B2176">
        <v>2018</v>
      </c>
      <c r="C2176">
        <v>3</v>
      </c>
      <c r="D2176" t="s">
        <v>174</v>
      </c>
      <c r="E2176" t="s">
        <v>349</v>
      </c>
      <c r="F2176" t="s">
        <v>43</v>
      </c>
      <c r="G2176" t="s">
        <v>57</v>
      </c>
      <c r="H2176" s="4">
        <v>26</v>
      </c>
      <c r="I2176" t="str">
        <f t="shared" si="33"/>
        <v>Cynoscion virescensSeatrout</v>
      </c>
    </row>
    <row r="2177" spans="1:9" x14ac:dyDescent="0.35">
      <c r="A2177">
        <v>33</v>
      </c>
      <c r="B2177">
        <v>2018</v>
      </c>
      <c r="C2177">
        <v>3</v>
      </c>
      <c r="D2177" t="s">
        <v>174</v>
      </c>
      <c r="E2177" t="s">
        <v>349</v>
      </c>
      <c r="F2177" t="s">
        <v>43</v>
      </c>
      <c r="G2177" t="s">
        <v>57</v>
      </c>
      <c r="H2177" s="4">
        <v>23</v>
      </c>
      <c r="I2177" t="str">
        <f t="shared" si="33"/>
        <v>Cynoscion virescensSeatrout</v>
      </c>
    </row>
    <row r="2178" spans="1:9" x14ac:dyDescent="0.35">
      <c r="A2178">
        <v>33</v>
      </c>
      <c r="B2178">
        <v>2018</v>
      </c>
      <c r="C2178">
        <v>3</v>
      </c>
      <c r="D2178" t="s">
        <v>174</v>
      </c>
      <c r="E2178" t="s">
        <v>349</v>
      </c>
      <c r="F2178" t="s">
        <v>43</v>
      </c>
      <c r="G2178" t="s">
        <v>57</v>
      </c>
      <c r="H2178" s="4">
        <v>22</v>
      </c>
      <c r="I2178" t="str">
        <f t="shared" ref="I2178:I2241" si="34">CONCATENATE(F2178,G2178)</f>
        <v>Cynoscion virescensSeatrout</v>
      </c>
    </row>
    <row r="2179" spans="1:9" x14ac:dyDescent="0.35">
      <c r="A2179">
        <v>33</v>
      </c>
      <c r="B2179">
        <v>2018</v>
      </c>
      <c r="C2179">
        <v>3</v>
      </c>
      <c r="D2179" t="s">
        <v>174</v>
      </c>
      <c r="E2179" t="s">
        <v>349</v>
      </c>
      <c r="F2179" t="s">
        <v>43</v>
      </c>
      <c r="G2179" t="s">
        <v>57</v>
      </c>
      <c r="H2179" s="4">
        <v>16</v>
      </c>
      <c r="I2179" t="str">
        <f t="shared" si="34"/>
        <v>Cynoscion virescensSeatrout</v>
      </c>
    </row>
    <row r="2180" spans="1:9" x14ac:dyDescent="0.35">
      <c r="A2180">
        <v>33</v>
      </c>
      <c r="B2180">
        <v>2018</v>
      </c>
      <c r="C2180">
        <v>3</v>
      </c>
      <c r="D2180" t="s">
        <v>174</v>
      </c>
      <c r="E2180" t="s">
        <v>349</v>
      </c>
      <c r="F2180" t="s">
        <v>43</v>
      </c>
      <c r="G2180" t="s">
        <v>57</v>
      </c>
      <c r="H2180" s="4">
        <v>17</v>
      </c>
      <c r="I2180" t="str">
        <f t="shared" si="34"/>
        <v>Cynoscion virescensSeatrout</v>
      </c>
    </row>
    <row r="2181" spans="1:9" x14ac:dyDescent="0.35">
      <c r="A2181">
        <v>33</v>
      </c>
      <c r="B2181">
        <v>2018</v>
      </c>
      <c r="C2181">
        <v>3</v>
      </c>
      <c r="D2181" t="s">
        <v>174</v>
      </c>
      <c r="E2181" t="s">
        <v>349</v>
      </c>
      <c r="F2181" t="s">
        <v>43</v>
      </c>
      <c r="G2181" t="s">
        <v>57</v>
      </c>
      <c r="H2181" s="4">
        <v>22</v>
      </c>
      <c r="I2181" t="str">
        <f t="shared" si="34"/>
        <v>Cynoscion virescensSeatrout</v>
      </c>
    </row>
    <row r="2182" spans="1:9" x14ac:dyDescent="0.35">
      <c r="A2182">
        <v>33</v>
      </c>
      <c r="B2182">
        <v>2018</v>
      </c>
      <c r="C2182">
        <v>3</v>
      </c>
      <c r="D2182" t="s">
        <v>174</v>
      </c>
      <c r="E2182" t="s">
        <v>349</v>
      </c>
      <c r="F2182" t="s">
        <v>43</v>
      </c>
      <c r="G2182" t="s">
        <v>57</v>
      </c>
      <c r="H2182" s="4">
        <v>21</v>
      </c>
      <c r="I2182" t="str">
        <f t="shared" si="34"/>
        <v>Cynoscion virescensSeatrout</v>
      </c>
    </row>
    <row r="2183" spans="1:9" x14ac:dyDescent="0.35">
      <c r="A2183">
        <v>33</v>
      </c>
      <c r="B2183">
        <v>2018</v>
      </c>
      <c r="C2183">
        <v>3</v>
      </c>
      <c r="D2183" t="s">
        <v>174</v>
      </c>
      <c r="E2183" t="s">
        <v>349</v>
      </c>
      <c r="F2183" t="s">
        <v>43</v>
      </c>
      <c r="G2183" t="s">
        <v>57</v>
      </c>
      <c r="H2183" s="4">
        <v>20</v>
      </c>
      <c r="I2183" t="str">
        <f t="shared" si="34"/>
        <v>Cynoscion virescensSeatrout</v>
      </c>
    </row>
    <row r="2184" spans="1:9" x14ac:dyDescent="0.35">
      <c r="A2184">
        <v>33</v>
      </c>
      <c r="B2184">
        <v>2018</v>
      </c>
      <c r="C2184">
        <v>3</v>
      </c>
      <c r="D2184" t="s">
        <v>174</v>
      </c>
      <c r="E2184" t="s">
        <v>349</v>
      </c>
      <c r="F2184" t="s">
        <v>43</v>
      </c>
      <c r="G2184" t="s">
        <v>57</v>
      </c>
      <c r="H2184" s="4">
        <v>15</v>
      </c>
      <c r="I2184" t="str">
        <f t="shared" si="34"/>
        <v>Cynoscion virescensSeatrout</v>
      </c>
    </row>
    <row r="2185" spans="1:9" x14ac:dyDescent="0.35">
      <c r="A2185">
        <v>33</v>
      </c>
      <c r="B2185">
        <v>2018</v>
      </c>
      <c r="C2185">
        <v>3</v>
      </c>
      <c r="D2185" t="s">
        <v>174</v>
      </c>
      <c r="E2185" t="s">
        <v>349</v>
      </c>
      <c r="F2185" t="s">
        <v>43</v>
      </c>
      <c r="G2185" t="s">
        <v>57</v>
      </c>
      <c r="H2185" s="4">
        <v>17</v>
      </c>
      <c r="I2185" t="str">
        <f t="shared" si="34"/>
        <v>Cynoscion virescensSeatrout</v>
      </c>
    </row>
    <row r="2186" spans="1:9" x14ac:dyDescent="0.35">
      <c r="A2186">
        <v>33</v>
      </c>
      <c r="B2186">
        <v>2018</v>
      </c>
      <c r="C2186">
        <v>3</v>
      </c>
      <c r="D2186" t="s">
        <v>174</v>
      </c>
      <c r="E2186" t="s">
        <v>349</v>
      </c>
      <c r="F2186" t="s">
        <v>43</v>
      </c>
      <c r="G2186" t="s">
        <v>57</v>
      </c>
      <c r="H2186" s="4">
        <v>22</v>
      </c>
      <c r="I2186" t="str">
        <f t="shared" si="34"/>
        <v>Cynoscion virescensSeatrout</v>
      </c>
    </row>
    <row r="2187" spans="1:9" x14ac:dyDescent="0.35">
      <c r="A2187">
        <v>33</v>
      </c>
      <c r="B2187">
        <v>2018</v>
      </c>
      <c r="C2187">
        <v>3</v>
      </c>
      <c r="D2187" t="s">
        <v>174</v>
      </c>
      <c r="E2187" t="s">
        <v>349</v>
      </c>
      <c r="F2187" t="s">
        <v>43</v>
      </c>
      <c r="G2187" t="s">
        <v>57</v>
      </c>
      <c r="H2187" s="4">
        <v>15</v>
      </c>
      <c r="I2187" t="str">
        <f t="shared" si="34"/>
        <v>Cynoscion virescensSeatrout</v>
      </c>
    </row>
    <row r="2188" spans="1:9" x14ac:dyDescent="0.35">
      <c r="A2188">
        <v>33</v>
      </c>
      <c r="B2188">
        <v>2018</v>
      </c>
      <c r="C2188">
        <v>3</v>
      </c>
      <c r="D2188" t="s">
        <v>174</v>
      </c>
      <c r="E2188" t="s">
        <v>349</v>
      </c>
      <c r="F2188" t="s">
        <v>43</v>
      </c>
      <c r="G2188" t="s">
        <v>57</v>
      </c>
      <c r="H2188" s="4">
        <v>16</v>
      </c>
      <c r="I2188" t="str">
        <f t="shared" si="34"/>
        <v>Cynoscion virescensSeatrout</v>
      </c>
    </row>
    <row r="2189" spans="1:9" x14ac:dyDescent="0.35">
      <c r="A2189">
        <v>33</v>
      </c>
      <c r="B2189">
        <v>2018</v>
      </c>
      <c r="C2189">
        <v>3</v>
      </c>
      <c r="D2189" t="s">
        <v>174</v>
      </c>
      <c r="E2189" t="s">
        <v>349</v>
      </c>
      <c r="F2189" t="s">
        <v>43</v>
      </c>
      <c r="G2189" t="s">
        <v>57</v>
      </c>
      <c r="H2189" s="4">
        <v>15</v>
      </c>
      <c r="I2189" t="str">
        <f t="shared" si="34"/>
        <v>Cynoscion virescensSeatrout</v>
      </c>
    </row>
    <row r="2190" spans="1:9" x14ac:dyDescent="0.35">
      <c r="A2190">
        <v>33</v>
      </c>
      <c r="B2190">
        <v>2018</v>
      </c>
      <c r="C2190">
        <v>3</v>
      </c>
      <c r="D2190" t="s">
        <v>174</v>
      </c>
      <c r="E2190" t="s">
        <v>349</v>
      </c>
      <c r="F2190" t="s">
        <v>43</v>
      </c>
      <c r="G2190" t="s">
        <v>57</v>
      </c>
      <c r="H2190" s="4">
        <v>17</v>
      </c>
      <c r="I2190" t="str">
        <f t="shared" si="34"/>
        <v>Cynoscion virescensSeatrout</v>
      </c>
    </row>
    <row r="2191" spans="1:9" x14ac:dyDescent="0.35">
      <c r="A2191">
        <v>33</v>
      </c>
      <c r="B2191">
        <v>2018</v>
      </c>
      <c r="C2191">
        <v>3</v>
      </c>
      <c r="D2191" t="s">
        <v>174</v>
      </c>
      <c r="E2191" t="s">
        <v>349</v>
      </c>
      <c r="F2191" t="s">
        <v>43</v>
      </c>
      <c r="G2191" t="s">
        <v>57</v>
      </c>
      <c r="H2191" s="4">
        <v>14</v>
      </c>
      <c r="I2191" t="str">
        <f t="shared" si="34"/>
        <v>Cynoscion virescensSeatrout</v>
      </c>
    </row>
    <row r="2192" spans="1:9" x14ac:dyDescent="0.35">
      <c r="A2192">
        <v>33</v>
      </c>
      <c r="B2192">
        <v>2018</v>
      </c>
      <c r="C2192">
        <v>3</v>
      </c>
      <c r="D2192" t="s">
        <v>174</v>
      </c>
      <c r="E2192" t="s">
        <v>349</v>
      </c>
      <c r="F2192" t="s">
        <v>43</v>
      </c>
      <c r="G2192" t="s">
        <v>57</v>
      </c>
      <c r="H2192" s="4">
        <v>14</v>
      </c>
      <c r="I2192" t="str">
        <f t="shared" si="34"/>
        <v>Cynoscion virescensSeatrout</v>
      </c>
    </row>
    <row r="2193" spans="1:9" x14ac:dyDescent="0.35">
      <c r="A2193">
        <v>33</v>
      </c>
      <c r="B2193">
        <v>2018</v>
      </c>
      <c r="C2193">
        <v>3</v>
      </c>
      <c r="D2193" t="s">
        <v>174</v>
      </c>
      <c r="E2193" t="s">
        <v>349</v>
      </c>
      <c r="F2193" t="s">
        <v>43</v>
      </c>
      <c r="G2193" t="s">
        <v>57</v>
      </c>
      <c r="H2193" s="4">
        <v>16</v>
      </c>
      <c r="I2193" t="str">
        <f t="shared" si="34"/>
        <v>Cynoscion virescensSeatrout</v>
      </c>
    </row>
    <row r="2194" spans="1:9" x14ac:dyDescent="0.35">
      <c r="A2194">
        <v>33</v>
      </c>
      <c r="B2194">
        <v>2018</v>
      </c>
      <c r="C2194">
        <v>3</v>
      </c>
      <c r="D2194" t="s">
        <v>174</v>
      </c>
      <c r="E2194" t="s">
        <v>349</v>
      </c>
      <c r="F2194" t="s">
        <v>43</v>
      </c>
      <c r="G2194" t="s">
        <v>57</v>
      </c>
      <c r="H2194" s="4">
        <v>11</v>
      </c>
      <c r="I2194" t="str">
        <f t="shared" si="34"/>
        <v>Cynoscion virescensSeatrout</v>
      </c>
    </row>
    <row r="2195" spans="1:9" x14ac:dyDescent="0.35">
      <c r="A2195">
        <v>33</v>
      </c>
      <c r="B2195">
        <v>2018</v>
      </c>
      <c r="C2195">
        <v>3</v>
      </c>
      <c r="D2195" t="s">
        <v>174</v>
      </c>
      <c r="E2195" t="s">
        <v>349</v>
      </c>
      <c r="F2195" t="s">
        <v>43</v>
      </c>
      <c r="G2195" t="s">
        <v>57</v>
      </c>
      <c r="H2195" s="4">
        <v>15</v>
      </c>
      <c r="I2195" t="str">
        <f t="shared" si="34"/>
        <v>Cynoscion virescensSeatrout</v>
      </c>
    </row>
    <row r="2196" spans="1:9" x14ac:dyDescent="0.35">
      <c r="A2196">
        <v>33</v>
      </c>
      <c r="B2196">
        <v>2018</v>
      </c>
      <c r="C2196">
        <v>3</v>
      </c>
      <c r="D2196" t="s">
        <v>174</v>
      </c>
      <c r="E2196" t="s">
        <v>349</v>
      </c>
      <c r="F2196" t="s">
        <v>43</v>
      </c>
      <c r="G2196" t="s">
        <v>57</v>
      </c>
      <c r="H2196" s="4">
        <v>11</v>
      </c>
      <c r="I2196" t="str">
        <f t="shared" si="34"/>
        <v>Cynoscion virescensSeatrout</v>
      </c>
    </row>
    <row r="2197" spans="1:9" x14ac:dyDescent="0.35">
      <c r="A2197">
        <v>33</v>
      </c>
      <c r="B2197">
        <v>2018</v>
      </c>
      <c r="C2197">
        <v>3</v>
      </c>
      <c r="D2197" t="s">
        <v>174</v>
      </c>
      <c r="E2197" t="s">
        <v>349</v>
      </c>
      <c r="F2197" t="s">
        <v>43</v>
      </c>
      <c r="G2197" t="s">
        <v>57</v>
      </c>
      <c r="H2197" s="4">
        <v>16</v>
      </c>
      <c r="I2197" t="str">
        <f t="shared" si="34"/>
        <v>Cynoscion virescensSeatrout</v>
      </c>
    </row>
    <row r="2198" spans="1:9" x14ac:dyDescent="0.35">
      <c r="A2198">
        <v>33</v>
      </c>
      <c r="B2198">
        <v>2018</v>
      </c>
      <c r="C2198">
        <v>3</v>
      </c>
      <c r="D2198" t="s">
        <v>174</v>
      </c>
      <c r="E2198" t="s">
        <v>349</v>
      </c>
      <c r="F2198" t="s">
        <v>43</v>
      </c>
      <c r="G2198" t="s">
        <v>57</v>
      </c>
      <c r="H2198" s="4">
        <v>16</v>
      </c>
      <c r="I2198" t="str">
        <f t="shared" si="34"/>
        <v>Cynoscion virescensSeatrout</v>
      </c>
    </row>
    <row r="2199" spans="1:9" x14ac:dyDescent="0.35">
      <c r="A2199">
        <v>33</v>
      </c>
      <c r="B2199">
        <v>2018</v>
      </c>
      <c r="C2199">
        <v>3</v>
      </c>
      <c r="D2199" t="s">
        <v>174</v>
      </c>
      <c r="E2199" t="s">
        <v>349</v>
      </c>
      <c r="F2199" t="s">
        <v>43</v>
      </c>
      <c r="G2199" t="s">
        <v>57</v>
      </c>
      <c r="H2199" s="4">
        <v>19</v>
      </c>
      <c r="I2199" t="str">
        <f t="shared" si="34"/>
        <v>Cynoscion virescensSeatrout</v>
      </c>
    </row>
    <row r="2200" spans="1:9" x14ac:dyDescent="0.35">
      <c r="A2200">
        <v>33</v>
      </c>
      <c r="B2200">
        <v>2018</v>
      </c>
      <c r="C2200">
        <v>3</v>
      </c>
      <c r="D2200" t="s">
        <v>174</v>
      </c>
      <c r="E2200" t="s">
        <v>349</v>
      </c>
      <c r="F2200" t="s">
        <v>43</v>
      </c>
      <c r="G2200" t="s">
        <v>57</v>
      </c>
      <c r="H2200" s="4">
        <v>14</v>
      </c>
      <c r="I2200" t="str">
        <f t="shared" si="34"/>
        <v>Cynoscion virescensSeatrout</v>
      </c>
    </row>
    <row r="2201" spans="1:9" x14ac:dyDescent="0.35">
      <c r="A2201">
        <v>33</v>
      </c>
      <c r="B2201">
        <v>2018</v>
      </c>
      <c r="C2201">
        <v>3</v>
      </c>
      <c r="D2201" t="s">
        <v>174</v>
      </c>
      <c r="E2201" t="s">
        <v>349</v>
      </c>
      <c r="F2201" t="s">
        <v>43</v>
      </c>
      <c r="G2201" t="s">
        <v>57</v>
      </c>
      <c r="H2201" s="4">
        <v>10</v>
      </c>
      <c r="I2201" t="str">
        <f t="shared" si="34"/>
        <v>Cynoscion virescensSeatrout</v>
      </c>
    </row>
    <row r="2202" spans="1:9" x14ac:dyDescent="0.35">
      <c r="A2202">
        <v>33</v>
      </c>
      <c r="B2202">
        <v>2018</v>
      </c>
      <c r="C2202">
        <v>3</v>
      </c>
      <c r="D2202" t="s">
        <v>174</v>
      </c>
      <c r="E2202" t="s">
        <v>349</v>
      </c>
      <c r="F2202" t="s">
        <v>43</v>
      </c>
      <c r="G2202" t="s">
        <v>57</v>
      </c>
      <c r="H2202" s="4">
        <v>10</v>
      </c>
      <c r="I2202" t="str">
        <f t="shared" si="34"/>
        <v>Cynoscion virescensSeatrout</v>
      </c>
    </row>
    <row r="2203" spans="1:9" x14ac:dyDescent="0.35">
      <c r="A2203">
        <v>33</v>
      </c>
      <c r="B2203">
        <v>2018</v>
      </c>
      <c r="C2203">
        <v>3</v>
      </c>
      <c r="D2203" t="s">
        <v>174</v>
      </c>
      <c r="E2203" t="s">
        <v>349</v>
      </c>
      <c r="F2203" t="s">
        <v>43</v>
      </c>
      <c r="G2203" t="s">
        <v>57</v>
      </c>
      <c r="H2203" s="4">
        <v>9</v>
      </c>
      <c r="I2203" t="str">
        <f t="shared" si="34"/>
        <v>Cynoscion virescensSeatrout</v>
      </c>
    </row>
    <row r="2204" spans="1:9" x14ac:dyDescent="0.35">
      <c r="A2204">
        <v>33</v>
      </c>
      <c r="B2204">
        <v>2018</v>
      </c>
      <c r="C2204">
        <v>3</v>
      </c>
      <c r="D2204" t="s">
        <v>174</v>
      </c>
      <c r="E2204" t="s">
        <v>349</v>
      </c>
      <c r="F2204" t="s">
        <v>40</v>
      </c>
      <c r="G2204" t="s">
        <v>35</v>
      </c>
      <c r="H2204" s="4">
        <v>18</v>
      </c>
      <c r="I2204" t="str">
        <f t="shared" si="34"/>
        <v>Macrodon ancylodonBangamary</v>
      </c>
    </row>
    <row r="2205" spans="1:9" x14ac:dyDescent="0.35">
      <c r="A2205">
        <v>33</v>
      </c>
      <c r="B2205">
        <v>2018</v>
      </c>
      <c r="C2205">
        <v>3</v>
      </c>
      <c r="D2205" t="s">
        <v>174</v>
      </c>
      <c r="E2205" t="s">
        <v>349</v>
      </c>
      <c r="F2205" t="s">
        <v>40</v>
      </c>
      <c r="G2205" t="s">
        <v>35</v>
      </c>
      <c r="H2205" s="4">
        <v>16</v>
      </c>
      <c r="I2205" t="str">
        <f t="shared" si="34"/>
        <v>Macrodon ancylodonBangamary</v>
      </c>
    </row>
    <row r="2206" spans="1:9" x14ac:dyDescent="0.35">
      <c r="A2206">
        <v>33</v>
      </c>
      <c r="B2206">
        <v>2018</v>
      </c>
      <c r="C2206">
        <v>3</v>
      </c>
      <c r="D2206" t="s">
        <v>174</v>
      </c>
      <c r="E2206" t="s">
        <v>349</v>
      </c>
      <c r="F2206" t="s">
        <v>40</v>
      </c>
      <c r="G2206" t="s">
        <v>35</v>
      </c>
      <c r="H2206" s="4">
        <v>20</v>
      </c>
      <c r="I2206" t="str">
        <f t="shared" si="34"/>
        <v>Macrodon ancylodonBangamary</v>
      </c>
    </row>
    <row r="2207" spans="1:9" x14ac:dyDescent="0.35">
      <c r="A2207">
        <v>33</v>
      </c>
      <c r="B2207">
        <v>2018</v>
      </c>
      <c r="C2207">
        <v>3</v>
      </c>
      <c r="D2207" t="s">
        <v>174</v>
      </c>
      <c r="E2207" t="s">
        <v>349</v>
      </c>
      <c r="F2207" t="s">
        <v>40</v>
      </c>
      <c r="G2207" t="s">
        <v>35</v>
      </c>
      <c r="H2207" s="4">
        <v>16</v>
      </c>
      <c r="I2207" t="str">
        <f t="shared" si="34"/>
        <v>Macrodon ancylodonBangamary</v>
      </c>
    </row>
    <row r="2208" spans="1:9" x14ac:dyDescent="0.35">
      <c r="A2208">
        <v>33</v>
      </c>
      <c r="B2208">
        <v>2018</v>
      </c>
      <c r="C2208">
        <v>3</v>
      </c>
      <c r="D2208" t="s">
        <v>174</v>
      </c>
      <c r="E2208" t="s">
        <v>349</v>
      </c>
      <c r="F2208" t="s">
        <v>40</v>
      </c>
      <c r="G2208" t="s">
        <v>35</v>
      </c>
      <c r="H2208" s="4">
        <v>20</v>
      </c>
      <c r="I2208" t="str">
        <f t="shared" si="34"/>
        <v>Macrodon ancylodonBangamary</v>
      </c>
    </row>
    <row r="2209" spans="1:9" x14ac:dyDescent="0.35">
      <c r="A2209">
        <v>33</v>
      </c>
      <c r="B2209">
        <v>2018</v>
      </c>
      <c r="C2209">
        <v>3</v>
      </c>
      <c r="D2209" t="s">
        <v>174</v>
      </c>
      <c r="E2209" t="s">
        <v>349</v>
      </c>
      <c r="F2209" t="s">
        <v>40</v>
      </c>
      <c r="G2209" t="s">
        <v>35</v>
      </c>
      <c r="H2209" s="4">
        <v>22</v>
      </c>
      <c r="I2209" t="str">
        <f t="shared" si="34"/>
        <v>Macrodon ancylodonBangamary</v>
      </c>
    </row>
    <row r="2210" spans="1:9" x14ac:dyDescent="0.35">
      <c r="A2210">
        <v>33</v>
      </c>
      <c r="B2210">
        <v>2018</v>
      </c>
      <c r="C2210">
        <v>3</v>
      </c>
      <c r="D2210" t="s">
        <v>174</v>
      </c>
      <c r="E2210" t="s">
        <v>349</v>
      </c>
      <c r="F2210" t="s">
        <v>40</v>
      </c>
      <c r="G2210" t="s">
        <v>35</v>
      </c>
      <c r="H2210" s="4">
        <v>18</v>
      </c>
      <c r="I2210" t="str">
        <f t="shared" si="34"/>
        <v>Macrodon ancylodonBangamary</v>
      </c>
    </row>
    <row r="2211" spans="1:9" x14ac:dyDescent="0.35">
      <c r="A2211">
        <v>33</v>
      </c>
      <c r="B2211">
        <v>2018</v>
      </c>
      <c r="C2211">
        <v>3</v>
      </c>
      <c r="D2211" t="s">
        <v>174</v>
      </c>
      <c r="E2211" t="s">
        <v>349</v>
      </c>
      <c r="F2211" t="s">
        <v>40</v>
      </c>
      <c r="G2211" t="s">
        <v>35</v>
      </c>
      <c r="H2211" s="4">
        <v>21</v>
      </c>
      <c r="I2211" t="str">
        <f t="shared" si="34"/>
        <v>Macrodon ancylodonBangamary</v>
      </c>
    </row>
    <row r="2212" spans="1:9" x14ac:dyDescent="0.35">
      <c r="A2212">
        <v>33</v>
      </c>
      <c r="B2212">
        <v>2018</v>
      </c>
      <c r="C2212">
        <v>3</v>
      </c>
      <c r="D2212" t="s">
        <v>174</v>
      </c>
      <c r="E2212" t="s">
        <v>349</v>
      </c>
      <c r="F2212" t="s">
        <v>40</v>
      </c>
      <c r="G2212" t="s">
        <v>35</v>
      </c>
      <c r="H2212" s="4">
        <v>15</v>
      </c>
      <c r="I2212" t="str">
        <f t="shared" si="34"/>
        <v>Macrodon ancylodonBangamary</v>
      </c>
    </row>
    <row r="2213" spans="1:9" x14ac:dyDescent="0.35">
      <c r="A2213">
        <v>33</v>
      </c>
      <c r="B2213">
        <v>2018</v>
      </c>
      <c r="C2213">
        <v>3</v>
      </c>
      <c r="D2213" t="s">
        <v>174</v>
      </c>
      <c r="E2213" t="s">
        <v>349</v>
      </c>
      <c r="F2213" t="s">
        <v>40</v>
      </c>
      <c r="G2213" t="s">
        <v>35</v>
      </c>
      <c r="H2213" s="4">
        <v>18</v>
      </c>
      <c r="I2213" t="str">
        <f t="shared" si="34"/>
        <v>Macrodon ancylodonBangamary</v>
      </c>
    </row>
    <row r="2214" spans="1:9" x14ac:dyDescent="0.35">
      <c r="A2214">
        <v>33</v>
      </c>
      <c r="B2214">
        <v>2018</v>
      </c>
      <c r="C2214">
        <v>3</v>
      </c>
      <c r="D2214" t="s">
        <v>174</v>
      </c>
      <c r="E2214" t="s">
        <v>349</v>
      </c>
      <c r="F2214" t="s">
        <v>40</v>
      </c>
      <c r="G2214" t="s">
        <v>35</v>
      </c>
      <c r="H2214" s="4">
        <v>16</v>
      </c>
      <c r="I2214" t="str">
        <f t="shared" si="34"/>
        <v>Macrodon ancylodonBangamary</v>
      </c>
    </row>
    <row r="2215" spans="1:9" x14ac:dyDescent="0.35">
      <c r="A2215">
        <v>33</v>
      </c>
      <c r="B2215">
        <v>2018</v>
      </c>
      <c r="C2215">
        <v>3</v>
      </c>
      <c r="D2215" t="s">
        <v>174</v>
      </c>
      <c r="E2215" t="s">
        <v>349</v>
      </c>
      <c r="F2215" t="s">
        <v>40</v>
      </c>
      <c r="G2215" t="s">
        <v>35</v>
      </c>
      <c r="H2215" s="4">
        <v>16</v>
      </c>
      <c r="I2215" t="str">
        <f t="shared" si="34"/>
        <v>Macrodon ancylodonBangamary</v>
      </c>
    </row>
    <row r="2216" spans="1:9" x14ac:dyDescent="0.35">
      <c r="A2216">
        <v>33</v>
      </c>
      <c r="B2216">
        <v>2018</v>
      </c>
      <c r="C2216">
        <v>3</v>
      </c>
      <c r="D2216" t="s">
        <v>174</v>
      </c>
      <c r="E2216" t="s">
        <v>349</v>
      </c>
      <c r="F2216" t="s">
        <v>40</v>
      </c>
      <c r="G2216" t="s">
        <v>35</v>
      </c>
      <c r="H2216" s="4">
        <v>16</v>
      </c>
      <c r="I2216" t="str">
        <f t="shared" si="34"/>
        <v>Macrodon ancylodonBangamary</v>
      </c>
    </row>
    <row r="2217" spans="1:9" x14ac:dyDescent="0.35">
      <c r="A2217">
        <v>33</v>
      </c>
      <c r="B2217">
        <v>2018</v>
      </c>
      <c r="C2217">
        <v>3</v>
      </c>
      <c r="D2217" t="s">
        <v>174</v>
      </c>
      <c r="E2217" t="s">
        <v>349</v>
      </c>
      <c r="F2217" t="s">
        <v>40</v>
      </c>
      <c r="G2217" t="s">
        <v>35</v>
      </c>
      <c r="H2217" s="4">
        <v>15</v>
      </c>
      <c r="I2217" t="str">
        <f t="shared" si="34"/>
        <v>Macrodon ancylodonBangamary</v>
      </c>
    </row>
    <row r="2218" spans="1:9" x14ac:dyDescent="0.35">
      <c r="A2218">
        <v>33</v>
      </c>
      <c r="B2218">
        <v>2018</v>
      </c>
      <c r="C2218">
        <v>3</v>
      </c>
      <c r="D2218" t="s">
        <v>174</v>
      </c>
      <c r="E2218" t="s">
        <v>349</v>
      </c>
      <c r="F2218" t="s">
        <v>40</v>
      </c>
      <c r="G2218" t="s">
        <v>35</v>
      </c>
      <c r="H2218" s="4">
        <v>11</v>
      </c>
      <c r="I2218" t="str">
        <f t="shared" si="34"/>
        <v>Macrodon ancylodonBangamary</v>
      </c>
    </row>
    <row r="2219" spans="1:9" x14ac:dyDescent="0.35">
      <c r="A2219">
        <v>33</v>
      </c>
      <c r="B2219">
        <v>2018</v>
      </c>
      <c r="C2219">
        <v>3</v>
      </c>
      <c r="D2219" t="s">
        <v>174</v>
      </c>
      <c r="E2219" t="s">
        <v>349</v>
      </c>
      <c r="F2219" t="s">
        <v>40</v>
      </c>
      <c r="G2219" t="s">
        <v>35</v>
      </c>
      <c r="H2219" s="4">
        <v>14</v>
      </c>
      <c r="I2219" t="str">
        <f t="shared" si="34"/>
        <v>Macrodon ancylodonBangamary</v>
      </c>
    </row>
    <row r="2220" spans="1:9" x14ac:dyDescent="0.35">
      <c r="A2220">
        <v>33</v>
      </c>
      <c r="B2220">
        <v>2018</v>
      </c>
      <c r="C2220">
        <v>3</v>
      </c>
      <c r="D2220" t="s">
        <v>174</v>
      </c>
      <c r="E2220" t="s">
        <v>349</v>
      </c>
      <c r="F2220" t="s">
        <v>40</v>
      </c>
      <c r="G2220" t="s">
        <v>35</v>
      </c>
      <c r="H2220" s="4">
        <v>13</v>
      </c>
      <c r="I2220" t="str">
        <f t="shared" si="34"/>
        <v>Macrodon ancylodonBangamary</v>
      </c>
    </row>
    <row r="2221" spans="1:9" x14ac:dyDescent="0.35">
      <c r="A2221">
        <v>33</v>
      </c>
      <c r="B2221">
        <v>2018</v>
      </c>
      <c r="C2221">
        <v>3</v>
      </c>
      <c r="D2221" t="s">
        <v>174</v>
      </c>
      <c r="E2221" t="s">
        <v>349</v>
      </c>
      <c r="F2221" t="s">
        <v>40</v>
      </c>
      <c r="G2221" t="s">
        <v>35</v>
      </c>
      <c r="H2221" s="4">
        <v>10</v>
      </c>
      <c r="I2221" t="str">
        <f t="shared" si="34"/>
        <v>Macrodon ancylodonBangamary</v>
      </c>
    </row>
    <row r="2222" spans="1:9" x14ac:dyDescent="0.35">
      <c r="A2222">
        <v>33</v>
      </c>
      <c r="B2222">
        <v>2018</v>
      </c>
      <c r="C2222">
        <v>3</v>
      </c>
      <c r="D2222" t="s">
        <v>174</v>
      </c>
      <c r="E2222" t="s">
        <v>349</v>
      </c>
      <c r="F2222" t="s">
        <v>40</v>
      </c>
      <c r="G2222" t="s">
        <v>35</v>
      </c>
      <c r="H2222" s="4">
        <v>14</v>
      </c>
      <c r="I2222" t="str">
        <f t="shared" si="34"/>
        <v>Macrodon ancylodonBangamary</v>
      </c>
    </row>
    <row r="2223" spans="1:9" x14ac:dyDescent="0.35">
      <c r="A2223">
        <v>33</v>
      </c>
      <c r="B2223">
        <v>2018</v>
      </c>
      <c r="C2223">
        <v>3</v>
      </c>
      <c r="D2223" t="s">
        <v>174</v>
      </c>
      <c r="E2223" t="s">
        <v>349</v>
      </c>
      <c r="F2223" t="s">
        <v>40</v>
      </c>
      <c r="G2223" t="s">
        <v>35</v>
      </c>
      <c r="H2223" s="4">
        <v>13</v>
      </c>
      <c r="I2223" t="str">
        <f t="shared" si="34"/>
        <v>Macrodon ancylodonBangamary</v>
      </c>
    </row>
    <row r="2224" spans="1:9" x14ac:dyDescent="0.35">
      <c r="A2224">
        <v>33</v>
      </c>
      <c r="B2224">
        <v>2018</v>
      </c>
      <c r="C2224">
        <v>3</v>
      </c>
      <c r="D2224" t="s">
        <v>174</v>
      </c>
      <c r="E2224" t="s">
        <v>349</v>
      </c>
      <c r="F2224" t="s">
        <v>40</v>
      </c>
      <c r="G2224" t="s">
        <v>35</v>
      </c>
      <c r="H2224" s="4">
        <v>10</v>
      </c>
      <c r="I2224" t="str">
        <f t="shared" si="34"/>
        <v>Macrodon ancylodonBangamary</v>
      </c>
    </row>
    <row r="2225" spans="1:9" x14ac:dyDescent="0.35">
      <c r="A2225">
        <v>33</v>
      </c>
      <c r="B2225">
        <v>2018</v>
      </c>
      <c r="C2225">
        <v>3</v>
      </c>
      <c r="D2225" t="s">
        <v>174</v>
      </c>
      <c r="E2225" t="s">
        <v>349</v>
      </c>
      <c r="F2225" t="s">
        <v>40</v>
      </c>
      <c r="G2225" t="s">
        <v>35</v>
      </c>
      <c r="H2225" s="4">
        <v>6</v>
      </c>
      <c r="I2225" t="str">
        <f t="shared" si="34"/>
        <v>Macrodon ancylodonBangamary</v>
      </c>
    </row>
    <row r="2226" spans="1:9" x14ac:dyDescent="0.35">
      <c r="A2226">
        <v>33</v>
      </c>
      <c r="B2226">
        <v>2018</v>
      </c>
      <c r="C2226">
        <v>3</v>
      </c>
      <c r="D2226" t="s">
        <v>174</v>
      </c>
      <c r="E2226" t="s">
        <v>349</v>
      </c>
      <c r="F2226" t="s">
        <v>40</v>
      </c>
      <c r="G2226" t="s">
        <v>35</v>
      </c>
      <c r="H2226" s="4">
        <v>31</v>
      </c>
      <c r="I2226" t="str">
        <f t="shared" si="34"/>
        <v>Macrodon ancylodonBangamary</v>
      </c>
    </row>
    <row r="2227" spans="1:9" x14ac:dyDescent="0.35">
      <c r="A2227">
        <v>33</v>
      </c>
      <c r="B2227">
        <v>2018</v>
      </c>
      <c r="C2227">
        <v>3</v>
      </c>
      <c r="D2227" t="s">
        <v>174</v>
      </c>
      <c r="E2227" t="s">
        <v>349</v>
      </c>
      <c r="F2227" t="s">
        <v>40</v>
      </c>
      <c r="G2227" t="s">
        <v>35</v>
      </c>
      <c r="H2227" s="4">
        <v>32</v>
      </c>
      <c r="I2227" t="str">
        <f t="shared" si="34"/>
        <v>Macrodon ancylodonBangamary</v>
      </c>
    </row>
    <row r="2228" spans="1:9" x14ac:dyDescent="0.35">
      <c r="A2228">
        <v>33</v>
      </c>
      <c r="B2228">
        <v>2018</v>
      </c>
      <c r="C2228">
        <v>3</v>
      </c>
      <c r="D2228" t="s">
        <v>174</v>
      </c>
      <c r="E2228" t="s">
        <v>349</v>
      </c>
      <c r="F2228" t="s">
        <v>40</v>
      </c>
      <c r="G2228" t="s">
        <v>35</v>
      </c>
      <c r="H2228" s="4">
        <v>23</v>
      </c>
      <c r="I2228" t="str">
        <f t="shared" si="34"/>
        <v>Macrodon ancylodonBangamary</v>
      </c>
    </row>
    <row r="2229" spans="1:9" x14ac:dyDescent="0.35">
      <c r="A2229">
        <v>33</v>
      </c>
      <c r="B2229">
        <v>2018</v>
      </c>
      <c r="C2229">
        <v>3</v>
      </c>
      <c r="D2229" t="s">
        <v>174</v>
      </c>
      <c r="E2229" t="s">
        <v>349</v>
      </c>
      <c r="F2229" t="s">
        <v>40</v>
      </c>
      <c r="G2229" t="s">
        <v>35</v>
      </c>
      <c r="H2229" s="4">
        <v>20</v>
      </c>
      <c r="I2229" t="str">
        <f t="shared" si="34"/>
        <v>Macrodon ancylodonBangamary</v>
      </c>
    </row>
    <row r="2230" spans="1:9" x14ac:dyDescent="0.35">
      <c r="A2230">
        <v>33</v>
      </c>
      <c r="B2230">
        <v>2018</v>
      </c>
      <c r="C2230">
        <v>3</v>
      </c>
      <c r="D2230" t="s">
        <v>174</v>
      </c>
      <c r="E2230" t="s">
        <v>349</v>
      </c>
      <c r="F2230" t="s">
        <v>40</v>
      </c>
      <c r="G2230" t="s">
        <v>35</v>
      </c>
      <c r="H2230" s="4">
        <v>12</v>
      </c>
      <c r="I2230" t="str">
        <f t="shared" si="34"/>
        <v>Macrodon ancylodonBangamary</v>
      </c>
    </row>
    <row r="2231" spans="1:9" x14ac:dyDescent="0.35">
      <c r="A2231">
        <v>33</v>
      </c>
      <c r="B2231">
        <v>2018</v>
      </c>
      <c r="C2231">
        <v>3</v>
      </c>
      <c r="D2231" t="s">
        <v>174</v>
      </c>
      <c r="E2231" t="s">
        <v>349</v>
      </c>
      <c r="F2231" t="s">
        <v>40</v>
      </c>
      <c r="G2231" t="s">
        <v>35</v>
      </c>
      <c r="H2231" s="4">
        <v>20</v>
      </c>
      <c r="I2231" t="str">
        <f t="shared" si="34"/>
        <v>Macrodon ancylodonBangamary</v>
      </c>
    </row>
    <row r="2232" spans="1:9" x14ac:dyDescent="0.35">
      <c r="A2232">
        <v>33</v>
      </c>
      <c r="B2232">
        <v>2018</v>
      </c>
      <c r="C2232">
        <v>3</v>
      </c>
      <c r="D2232" t="s">
        <v>174</v>
      </c>
      <c r="E2232" t="s">
        <v>349</v>
      </c>
      <c r="F2232" t="s">
        <v>40</v>
      </c>
      <c r="G2232" t="s">
        <v>35</v>
      </c>
      <c r="H2232" s="4">
        <v>18</v>
      </c>
      <c r="I2232" t="str">
        <f t="shared" si="34"/>
        <v>Macrodon ancylodonBangamary</v>
      </c>
    </row>
    <row r="2233" spans="1:9" x14ac:dyDescent="0.35">
      <c r="A2233">
        <v>33</v>
      </c>
      <c r="B2233">
        <v>2018</v>
      </c>
      <c r="C2233">
        <v>3</v>
      </c>
      <c r="D2233" t="s">
        <v>174</v>
      </c>
      <c r="E2233" t="s">
        <v>349</v>
      </c>
      <c r="F2233" t="s">
        <v>40</v>
      </c>
      <c r="G2233" t="s">
        <v>35</v>
      </c>
      <c r="H2233" s="4">
        <v>10</v>
      </c>
      <c r="I2233" t="str">
        <f t="shared" si="34"/>
        <v>Macrodon ancylodonBangamary</v>
      </c>
    </row>
    <row r="2234" spans="1:9" x14ac:dyDescent="0.35">
      <c r="A2234">
        <v>33</v>
      </c>
      <c r="B2234">
        <v>2018</v>
      </c>
      <c r="C2234">
        <v>3</v>
      </c>
      <c r="D2234" t="s">
        <v>174</v>
      </c>
      <c r="E2234" t="s">
        <v>349</v>
      </c>
      <c r="F2234" t="s">
        <v>58</v>
      </c>
      <c r="G2234" t="s">
        <v>59</v>
      </c>
      <c r="H2234" s="4">
        <v>14</v>
      </c>
      <c r="I2234" t="str">
        <f t="shared" si="34"/>
        <v>Stellifer rastriferRockhead</v>
      </c>
    </row>
    <row r="2235" spans="1:9" x14ac:dyDescent="0.35">
      <c r="A2235">
        <v>33</v>
      </c>
      <c r="B2235">
        <v>2018</v>
      </c>
      <c r="C2235">
        <v>3</v>
      </c>
      <c r="D2235" t="s">
        <v>174</v>
      </c>
      <c r="E2235" t="s">
        <v>349</v>
      </c>
      <c r="F2235" t="s">
        <v>58</v>
      </c>
      <c r="G2235" t="s">
        <v>59</v>
      </c>
      <c r="H2235" s="4">
        <v>16</v>
      </c>
      <c r="I2235" t="str">
        <f t="shared" si="34"/>
        <v>Stellifer rastriferRockhead</v>
      </c>
    </row>
    <row r="2236" spans="1:9" x14ac:dyDescent="0.35">
      <c r="A2236">
        <v>33</v>
      </c>
      <c r="B2236">
        <v>2018</v>
      </c>
      <c r="C2236">
        <v>3</v>
      </c>
      <c r="D2236" t="s">
        <v>174</v>
      </c>
      <c r="E2236" t="s">
        <v>349</v>
      </c>
      <c r="F2236" t="s">
        <v>58</v>
      </c>
      <c r="G2236" t="s">
        <v>59</v>
      </c>
      <c r="H2236" s="4">
        <v>13</v>
      </c>
      <c r="I2236" t="str">
        <f t="shared" si="34"/>
        <v>Stellifer rastriferRockhead</v>
      </c>
    </row>
    <row r="2237" spans="1:9" x14ac:dyDescent="0.35">
      <c r="A2237">
        <v>33</v>
      </c>
      <c r="B2237">
        <v>2018</v>
      </c>
      <c r="C2237">
        <v>3</v>
      </c>
      <c r="D2237" t="s">
        <v>174</v>
      </c>
      <c r="E2237" t="s">
        <v>349</v>
      </c>
      <c r="F2237" t="s">
        <v>58</v>
      </c>
      <c r="G2237" t="s">
        <v>59</v>
      </c>
      <c r="H2237" s="4">
        <v>11</v>
      </c>
      <c r="I2237" t="str">
        <f t="shared" si="34"/>
        <v>Stellifer rastriferRockhead</v>
      </c>
    </row>
    <row r="2238" spans="1:9" x14ac:dyDescent="0.35">
      <c r="A2238">
        <v>33</v>
      </c>
      <c r="B2238">
        <v>2018</v>
      </c>
      <c r="C2238">
        <v>3</v>
      </c>
      <c r="D2238" t="s">
        <v>174</v>
      </c>
      <c r="E2238" t="s">
        <v>349</v>
      </c>
      <c r="F2238" t="s">
        <v>58</v>
      </c>
      <c r="G2238" t="s">
        <v>59</v>
      </c>
      <c r="H2238" s="4">
        <v>14</v>
      </c>
      <c r="I2238" t="str">
        <f t="shared" si="34"/>
        <v>Stellifer rastriferRockhead</v>
      </c>
    </row>
    <row r="2239" spans="1:9" x14ac:dyDescent="0.35">
      <c r="A2239">
        <v>33</v>
      </c>
      <c r="B2239">
        <v>2018</v>
      </c>
      <c r="C2239">
        <v>3</v>
      </c>
      <c r="D2239" t="s">
        <v>174</v>
      </c>
      <c r="E2239" t="s">
        <v>349</v>
      </c>
      <c r="F2239" t="s">
        <v>58</v>
      </c>
      <c r="G2239" t="s">
        <v>59</v>
      </c>
      <c r="H2239" s="4">
        <v>14</v>
      </c>
      <c r="I2239" t="str">
        <f t="shared" si="34"/>
        <v>Stellifer rastriferRockhead</v>
      </c>
    </row>
    <row r="2240" spans="1:9" x14ac:dyDescent="0.35">
      <c r="A2240">
        <v>33</v>
      </c>
      <c r="B2240">
        <v>2018</v>
      </c>
      <c r="C2240">
        <v>3</v>
      </c>
      <c r="D2240" t="s">
        <v>174</v>
      </c>
      <c r="E2240" t="s">
        <v>349</v>
      </c>
      <c r="F2240" t="s">
        <v>58</v>
      </c>
      <c r="G2240" t="s">
        <v>59</v>
      </c>
      <c r="H2240" s="4">
        <v>12</v>
      </c>
      <c r="I2240" t="str">
        <f t="shared" si="34"/>
        <v>Stellifer rastriferRockhead</v>
      </c>
    </row>
    <row r="2241" spans="1:9" x14ac:dyDescent="0.35">
      <c r="A2241">
        <v>33</v>
      </c>
      <c r="B2241">
        <v>2018</v>
      </c>
      <c r="C2241">
        <v>3</v>
      </c>
      <c r="D2241" t="s">
        <v>174</v>
      </c>
      <c r="E2241" t="s">
        <v>349</v>
      </c>
      <c r="F2241" t="s">
        <v>58</v>
      </c>
      <c r="G2241" t="s">
        <v>59</v>
      </c>
      <c r="H2241" s="4">
        <v>12</v>
      </c>
      <c r="I2241" t="str">
        <f t="shared" si="34"/>
        <v>Stellifer rastriferRockhead</v>
      </c>
    </row>
    <row r="2242" spans="1:9" x14ac:dyDescent="0.35">
      <c r="A2242">
        <v>33</v>
      </c>
      <c r="B2242">
        <v>2018</v>
      </c>
      <c r="C2242">
        <v>3</v>
      </c>
      <c r="D2242" t="s">
        <v>174</v>
      </c>
      <c r="E2242" t="s">
        <v>349</v>
      </c>
      <c r="F2242" t="s">
        <v>58</v>
      </c>
      <c r="G2242" t="s">
        <v>59</v>
      </c>
      <c r="H2242" s="4">
        <v>13</v>
      </c>
      <c r="I2242" t="str">
        <f t="shared" ref="I2242:I2305" si="35">CONCATENATE(F2242,G2242)</f>
        <v>Stellifer rastriferRockhead</v>
      </c>
    </row>
    <row r="2243" spans="1:9" x14ac:dyDescent="0.35">
      <c r="A2243">
        <v>33</v>
      </c>
      <c r="B2243">
        <v>2018</v>
      </c>
      <c r="C2243">
        <v>3</v>
      </c>
      <c r="D2243" t="s">
        <v>174</v>
      </c>
      <c r="E2243" t="s">
        <v>349</v>
      </c>
      <c r="F2243" t="s">
        <v>58</v>
      </c>
      <c r="G2243" t="s">
        <v>59</v>
      </c>
      <c r="H2243" s="4">
        <v>11</v>
      </c>
      <c r="I2243" t="str">
        <f t="shared" si="35"/>
        <v>Stellifer rastriferRockhead</v>
      </c>
    </row>
    <row r="2244" spans="1:9" x14ac:dyDescent="0.35">
      <c r="A2244">
        <v>33</v>
      </c>
      <c r="B2244">
        <v>2018</v>
      </c>
      <c r="C2244">
        <v>3</v>
      </c>
      <c r="D2244" t="s">
        <v>174</v>
      </c>
      <c r="E2244" t="s">
        <v>349</v>
      </c>
      <c r="F2244" t="s">
        <v>58</v>
      </c>
      <c r="G2244" t="s">
        <v>59</v>
      </c>
      <c r="H2244" s="4">
        <v>13</v>
      </c>
      <c r="I2244" t="str">
        <f t="shared" si="35"/>
        <v>Stellifer rastriferRockhead</v>
      </c>
    </row>
    <row r="2245" spans="1:9" x14ac:dyDescent="0.35">
      <c r="A2245">
        <v>33</v>
      </c>
      <c r="B2245">
        <v>2018</v>
      </c>
      <c r="C2245">
        <v>3</v>
      </c>
      <c r="D2245" t="s">
        <v>174</v>
      </c>
      <c r="E2245" t="s">
        <v>349</v>
      </c>
      <c r="F2245" t="s">
        <v>58</v>
      </c>
      <c r="G2245" t="s">
        <v>59</v>
      </c>
      <c r="H2245" s="4">
        <v>10</v>
      </c>
      <c r="I2245" t="str">
        <f t="shared" si="35"/>
        <v>Stellifer rastriferRockhead</v>
      </c>
    </row>
    <row r="2246" spans="1:9" x14ac:dyDescent="0.35">
      <c r="A2246">
        <v>33</v>
      </c>
      <c r="B2246">
        <v>2018</v>
      </c>
      <c r="C2246">
        <v>3</v>
      </c>
      <c r="D2246" t="s">
        <v>174</v>
      </c>
      <c r="E2246" t="s">
        <v>349</v>
      </c>
      <c r="F2246" t="s">
        <v>58</v>
      </c>
      <c r="G2246" t="s">
        <v>59</v>
      </c>
      <c r="H2246" s="4">
        <v>9</v>
      </c>
      <c r="I2246" t="str">
        <f t="shared" si="35"/>
        <v>Stellifer rastriferRockhead</v>
      </c>
    </row>
    <row r="2247" spans="1:9" x14ac:dyDescent="0.35">
      <c r="A2247">
        <v>33</v>
      </c>
      <c r="B2247">
        <v>2018</v>
      </c>
      <c r="C2247">
        <v>3</v>
      </c>
      <c r="D2247" t="s">
        <v>174</v>
      </c>
      <c r="E2247" t="s">
        <v>349</v>
      </c>
      <c r="F2247" t="s">
        <v>58</v>
      </c>
      <c r="G2247" t="s">
        <v>59</v>
      </c>
      <c r="H2247" s="4">
        <v>9</v>
      </c>
      <c r="I2247" t="str">
        <f t="shared" si="35"/>
        <v>Stellifer rastriferRockhead</v>
      </c>
    </row>
    <row r="2248" spans="1:9" x14ac:dyDescent="0.35">
      <c r="A2248">
        <v>33</v>
      </c>
      <c r="B2248">
        <v>2018</v>
      </c>
      <c r="C2248">
        <v>3</v>
      </c>
      <c r="D2248" t="s">
        <v>174</v>
      </c>
      <c r="E2248" t="s">
        <v>349</v>
      </c>
      <c r="F2248" t="s">
        <v>58</v>
      </c>
      <c r="G2248" t="s">
        <v>59</v>
      </c>
      <c r="H2248" s="4">
        <v>9</v>
      </c>
      <c r="I2248" t="str">
        <f t="shared" si="35"/>
        <v>Stellifer rastriferRockhead</v>
      </c>
    </row>
    <row r="2249" spans="1:9" x14ac:dyDescent="0.35">
      <c r="A2249">
        <v>33</v>
      </c>
      <c r="B2249">
        <v>2018</v>
      </c>
      <c r="C2249">
        <v>3</v>
      </c>
      <c r="D2249" t="s">
        <v>174</v>
      </c>
      <c r="E2249" t="s">
        <v>349</v>
      </c>
      <c r="F2249" t="s">
        <v>58</v>
      </c>
      <c r="G2249" t="s">
        <v>59</v>
      </c>
      <c r="H2249" s="4">
        <v>10</v>
      </c>
      <c r="I2249" t="str">
        <f t="shared" si="35"/>
        <v>Stellifer rastriferRockhead</v>
      </c>
    </row>
    <row r="2250" spans="1:9" x14ac:dyDescent="0.35">
      <c r="A2250">
        <v>33</v>
      </c>
      <c r="B2250">
        <v>2018</v>
      </c>
      <c r="C2250">
        <v>3</v>
      </c>
      <c r="D2250" t="s">
        <v>174</v>
      </c>
      <c r="E2250" t="s">
        <v>349</v>
      </c>
      <c r="F2250" t="s">
        <v>58</v>
      </c>
      <c r="G2250" t="s">
        <v>59</v>
      </c>
      <c r="H2250" s="4">
        <v>9</v>
      </c>
      <c r="I2250" t="str">
        <f t="shared" si="35"/>
        <v>Stellifer rastriferRockhead</v>
      </c>
    </row>
    <row r="2251" spans="1:9" x14ac:dyDescent="0.35">
      <c r="A2251">
        <v>33</v>
      </c>
      <c r="B2251">
        <v>2018</v>
      </c>
      <c r="C2251">
        <v>3</v>
      </c>
      <c r="D2251" t="s">
        <v>174</v>
      </c>
      <c r="E2251" t="s">
        <v>349</v>
      </c>
      <c r="F2251" t="s">
        <v>58</v>
      </c>
      <c r="G2251" t="s">
        <v>59</v>
      </c>
      <c r="H2251" s="4">
        <v>8</v>
      </c>
      <c r="I2251" t="str">
        <f t="shared" si="35"/>
        <v>Stellifer rastriferRockhead</v>
      </c>
    </row>
    <row r="2252" spans="1:9" x14ac:dyDescent="0.35">
      <c r="A2252">
        <v>33</v>
      </c>
      <c r="B2252">
        <v>2018</v>
      </c>
      <c r="C2252">
        <v>3</v>
      </c>
      <c r="D2252" t="s">
        <v>174</v>
      </c>
      <c r="E2252" t="s">
        <v>349</v>
      </c>
      <c r="F2252" t="s">
        <v>58</v>
      </c>
      <c r="G2252" t="s">
        <v>59</v>
      </c>
      <c r="H2252" s="4">
        <v>7</v>
      </c>
      <c r="I2252" t="str">
        <f t="shared" si="35"/>
        <v>Stellifer rastriferRockhead</v>
      </c>
    </row>
    <row r="2253" spans="1:9" x14ac:dyDescent="0.35">
      <c r="A2253">
        <v>33</v>
      </c>
      <c r="B2253">
        <v>2018</v>
      </c>
      <c r="C2253">
        <v>3</v>
      </c>
      <c r="D2253" t="s">
        <v>174</v>
      </c>
      <c r="E2253" t="s">
        <v>349</v>
      </c>
      <c r="F2253" t="s">
        <v>58</v>
      </c>
      <c r="G2253" t="s">
        <v>59</v>
      </c>
      <c r="H2253" s="4">
        <v>7</v>
      </c>
      <c r="I2253" t="str">
        <f t="shared" si="35"/>
        <v>Stellifer rastriferRockhead</v>
      </c>
    </row>
    <row r="2254" spans="1:9" x14ac:dyDescent="0.35">
      <c r="A2254">
        <v>33</v>
      </c>
      <c r="B2254">
        <v>2018</v>
      </c>
      <c r="C2254">
        <v>3</v>
      </c>
      <c r="D2254" t="s">
        <v>174</v>
      </c>
      <c r="E2254" t="s">
        <v>349</v>
      </c>
      <c r="F2254" t="s">
        <v>58</v>
      </c>
      <c r="G2254" t="s">
        <v>59</v>
      </c>
      <c r="H2254" s="4">
        <v>13</v>
      </c>
      <c r="I2254" t="str">
        <f t="shared" si="35"/>
        <v>Stellifer rastriferRockhead</v>
      </c>
    </row>
    <row r="2255" spans="1:9" x14ac:dyDescent="0.35">
      <c r="A2255">
        <v>33</v>
      </c>
      <c r="B2255">
        <v>2018</v>
      </c>
      <c r="C2255">
        <v>3</v>
      </c>
      <c r="D2255" t="s">
        <v>174</v>
      </c>
      <c r="E2255" t="s">
        <v>349</v>
      </c>
      <c r="F2255" t="s">
        <v>58</v>
      </c>
      <c r="G2255" t="s">
        <v>59</v>
      </c>
      <c r="H2255" s="4">
        <v>9</v>
      </c>
      <c r="I2255" t="str">
        <f t="shared" si="35"/>
        <v>Stellifer rastriferRockhead</v>
      </c>
    </row>
    <row r="2256" spans="1:9" x14ac:dyDescent="0.35">
      <c r="A2256">
        <v>33</v>
      </c>
      <c r="B2256">
        <v>2018</v>
      </c>
      <c r="C2256">
        <v>3</v>
      </c>
      <c r="D2256" t="s">
        <v>174</v>
      </c>
      <c r="E2256" t="s">
        <v>349</v>
      </c>
      <c r="F2256" t="s">
        <v>58</v>
      </c>
      <c r="G2256" t="s">
        <v>59</v>
      </c>
      <c r="H2256" s="4">
        <v>14</v>
      </c>
      <c r="I2256" t="str">
        <f t="shared" si="35"/>
        <v>Stellifer rastriferRockhead</v>
      </c>
    </row>
    <row r="2257" spans="1:9" x14ac:dyDescent="0.35">
      <c r="A2257">
        <v>33</v>
      </c>
      <c r="B2257">
        <v>2018</v>
      </c>
      <c r="C2257">
        <v>3</v>
      </c>
      <c r="D2257" t="s">
        <v>174</v>
      </c>
      <c r="E2257" t="s">
        <v>349</v>
      </c>
      <c r="F2257" t="s">
        <v>58</v>
      </c>
      <c r="G2257" t="s">
        <v>59</v>
      </c>
      <c r="H2257" s="4">
        <v>13</v>
      </c>
      <c r="I2257" t="str">
        <f t="shared" si="35"/>
        <v>Stellifer rastriferRockhead</v>
      </c>
    </row>
    <row r="2258" spans="1:9" x14ac:dyDescent="0.35">
      <c r="A2258">
        <v>33</v>
      </c>
      <c r="B2258">
        <v>2018</v>
      </c>
      <c r="C2258">
        <v>3</v>
      </c>
      <c r="D2258" t="s">
        <v>174</v>
      </c>
      <c r="E2258" t="s">
        <v>349</v>
      </c>
      <c r="F2258" t="s">
        <v>58</v>
      </c>
      <c r="G2258" t="s">
        <v>59</v>
      </c>
      <c r="H2258" s="4">
        <v>13</v>
      </c>
      <c r="I2258" t="str">
        <f t="shared" si="35"/>
        <v>Stellifer rastriferRockhead</v>
      </c>
    </row>
    <row r="2259" spans="1:9" x14ac:dyDescent="0.35">
      <c r="A2259">
        <v>33</v>
      </c>
      <c r="B2259">
        <v>2018</v>
      </c>
      <c r="C2259">
        <v>3</v>
      </c>
      <c r="D2259" t="s">
        <v>174</v>
      </c>
      <c r="E2259" t="s">
        <v>349</v>
      </c>
      <c r="F2259" t="s">
        <v>58</v>
      </c>
      <c r="G2259" t="s">
        <v>59</v>
      </c>
      <c r="H2259" s="4">
        <v>12</v>
      </c>
      <c r="I2259" t="str">
        <f t="shared" si="35"/>
        <v>Stellifer rastriferRockhead</v>
      </c>
    </row>
    <row r="2260" spans="1:9" x14ac:dyDescent="0.35">
      <c r="A2260">
        <v>33</v>
      </c>
      <c r="B2260">
        <v>2018</v>
      </c>
      <c r="C2260">
        <v>3</v>
      </c>
      <c r="D2260" t="s">
        <v>174</v>
      </c>
      <c r="E2260" t="s">
        <v>349</v>
      </c>
      <c r="F2260" t="s">
        <v>58</v>
      </c>
      <c r="G2260" t="s">
        <v>59</v>
      </c>
      <c r="H2260" s="4">
        <v>14</v>
      </c>
      <c r="I2260" t="str">
        <f t="shared" si="35"/>
        <v>Stellifer rastriferRockhead</v>
      </c>
    </row>
    <row r="2261" spans="1:9" x14ac:dyDescent="0.35">
      <c r="A2261">
        <v>33</v>
      </c>
      <c r="B2261">
        <v>2018</v>
      </c>
      <c r="C2261">
        <v>3</v>
      </c>
      <c r="D2261" t="s">
        <v>174</v>
      </c>
      <c r="E2261" t="s">
        <v>349</v>
      </c>
      <c r="F2261" t="s">
        <v>58</v>
      </c>
      <c r="G2261" t="s">
        <v>59</v>
      </c>
      <c r="H2261" s="4">
        <v>18</v>
      </c>
      <c r="I2261" t="str">
        <f t="shared" si="35"/>
        <v>Stellifer rastriferRockhead</v>
      </c>
    </row>
    <row r="2262" spans="1:9" x14ac:dyDescent="0.35">
      <c r="A2262">
        <v>33</v>
      </c>
      <c r="B2262">
        <v>2018</v>
      </c>
      <c r="C2262">
        <v>3</v>
      </c>
      <c r="D2262" t="s">
        <v>174</v>
      </c>
      <c r="E2262" t="s">
        <v>349</v>
      </c>
      <c r="F2262" t="s">
        <v>58</v>
      </c>
      <c r="G2262" t="s">
        <v>59</v>
      </c>
      <c r="H2262" s="4">
        <v>12</v>
      </c>
      <c r="I2262" t="str">
        <f t="shared" si="35"/>
        <v>Stellifer rastriferRockhead</v>
      </c>
    </row>
    <row r="2263" spans="1:9" x14ac:dyDescent="0.35">
      <c r="A2263">
        <v>33</v>
      </c>
      <c r="B2263">
        <v>2018</v>
      </c>
      <c r="C2263">
        <v>3</v>
      </c>
      <c r="D2263" t="s">
        <v>174</v>
      </c>
      <c r="E2263" t="s">
        <v>349</v>
      </c>
      <c r="F2263" t="s">
        <v>58</v>
      </c>
      <c r="G2263" t="s">
        <v>59</v>
      </c>
      <c r="H2263" s="4">
        <v>15</v>
      </c>
      <c r="I2263" t="str">
        <f t="shared" si="35"/>
        <v>Stellifer rastriferRockhead</v>
      </c>
    </row>
    <row r="2264" spans="1:9" x14ac:dyDescent="0.35">
      <c r="A2264">
        <v>33</v>
      </c>
      <c r="B2264">
        <v>2018</v>
      </c>
      <c r="C2264">
        <v>3</v>
      </c>
      <c r="D2264" t="s">
        <v>174</v>
      </c>
      <c r="E2264" t="s">
        <v>349</v>
      </c>
      <c r="F2264" t="s">
        <v>6</v>
      </c>
      <c r="G2264" t="s">
        <v>37</v>
      </c>
      <c r="H2264" s="4">
        <v>14</v>
      </c>
      <c r="I2264" t="str">
        <f t="shared" si="35"/>
        <v>Symphurus plagusiaTongue fish</v>
      </c>
    </row>
    <row r="2265" spans="1:9" x14ac:dyDescent="0.35">
      <c r="A2265">
        <v>33</v>
      </c>
      <c r="B2265">
        <v>2018</v>
      </c>
      <c r="C2265">
        <v>3</v>
      </c>
      <c r="D2265" t="s">
        <v>174</v>
      </c>
      <c r="E2265" t="s">
        <v>349</v>
      </c>
      <c r="F2265" t="s">
        <v>6</v>
      </c>
      <c r="G2265" t="s">
        <v>37</v>
      </c>
      <c r="H2265" s="4">
        <v>14</v>
      </c>
      <c r="I2265" t="str">
        <f t="shared" si="35"/>
        <v>Symphurus plagusiaTongue fish</v>
      </c>
    </row>
    <row r="2266" spans="1:9" x14ac:dyDescent="0.35">
      <c r="A2266">
        <v>33</v>
      </c>
      <c r="B2266">
        <v>2018</v>
      </c>
      <c r="C2266">
        <v>3</v>
      </c>
      <c r="D2266" t="s">
        <v>174</v>
      </c>
      <c r="E2266" t="s">
        <v>349</v>
      </c>
      <c r="F2266" t="s">
        <v>6</v>
      </c>
      <c r="G2266" t="s">
        <v>37</v>
      </c>
      <c r="H2266" s="4">
        <v>13</v>
      </c>
      <c r="I2266" t="str">
        <f t="shared" si="35"/>
        <v>Symphurus plagusiaTongue fish</v>
      </c>
    </row>
    <row r="2267" spans="1:9" x14ac:dyDescent="0.35">
      <c r="A2267">
        <v>33</v>
      </c>
      <c r="B2267">
        <v>2018</v>
      </c>
      <c r="C2267">
        <v>3</v>
      </c>
      <c r="D2267" t="s">
        <v>174</v>
      </c>
      <c r="E2267" t="s">
        <v>349</v>
      </c>
      <c r="F2267" t="s">
        <v>6</v>
      </c>
      <c r="G2267" t="s">
        <v>37</v>
      </c>
      <c r="H2267" s="4">
        <v>15</v>
      </c>
      <c r="I2267" t="str">
        <f t="shared" si="35"/>
        <v>Symphurus plagusiaTongue fish</v>
      </c>
    </row>
    <row r="2268" spans="1:9" x14ac:dyDescent="0.35">
      <c r="A2268">
        <v>33</v>
      </c>
      <c r="B2268">
        <v>2018</v>
      </c>
      <c r="C2268">
        <v>3</v>
      </c>
      <c r="D2268" t="s">
        <v>174</v>
      </c>
      <c r="E2268" t="s">
        <v>349</v>
      </c>
      <c r="F2268" t="s">
        <v>6</v>
      </c>
      <c r="G2268" t="s">
        <v>37</v>
      </c>
      <c r="H2268" s="4">
        <v>13</v>
      </c>
      <c r="I2268" t="str">
        <f t="shared" si="35"/>
        <v>Symphurus plagusiaTongue fish</v>
      </c>
    </row>
    <row r="2269" spans="1:9" x14ac:dyDescent="0.35">
      <c r="A2269">
        <v>33</v>
      </c>
      <c r="B2269">
        <v>2018</v>
      </c>
      <c r="C2269">
        <v>3</v>
      </c>
      <c r="D2269" t="s">
        <v>174</v>
      </c>
      <c r="E2269" t="s">
        <v>349</v>
      </c>
      <c r="F2269" t="s">
        <v>6</v>
      </c>
      <c r="G2269" t="s">
        <v>37</v>
      </c>
      <c r="H2269" s="4">
        <v>12</v>
      </c>
      <c r="I2269" t="str">
        <f t="shared" si="35"/>
        <v>Symphurus plagusiaTongue fish</v>
      </c>
    </row>
    <row r="2270" spans="1:9" x14ac:dyDescent="0.35">
      <c r="A2270">
        <v>33</v>
      </c>
      <c r="B2270">
        <v>2018</v>
      </c>
      <c r="C2270">
        <v>3</v>
      </c>
      <c r="D2270" t="s">
        <v>174</v>
      </c>
      <c r="E2270" t="s">
        <v>349</v>
      </c>
      <c r="F2270" t="s">
        <v>6</v>
      </c>
      <c r="G2270" t="s">
        <v>37</v>
      </c>
      <c r="H2270" s="4">
        <v>11</v>
      </c>
      <c r="I2270" t="str">
        <f t="shared" si="35"/>
        <v>Symphurus plagusiaTongue fish</v>
      </c>
    </row>
    <row r="2271" spans="1:9" x14ac:dyDescent="0.35">
      <c r="A2271">
        <v>33</v>
      </c>
      <c r="B2271">
        <v>2018</v>
      </c>
      <c r="C2271">
        <v>3</v>
      </c>
      <c r="D2271" t="s">
        <v>174</v>
      </c>
      <c r="E2271" t="s">
        <v>349</v>
      </c>
      <c r="F2271" t="s">
        <v>6</v>
      </c>
      <c r="G2271" t="s">
        <v>37</v>
      </c>
      <c r="H2271" s="4">
        <v>12</v>
      </c>
      <c r="I2271" t="str">
        <f t="shared" si="35"/>
        <v>Symphurus plagusiaTongue fish</v>
      </c>
    </row>
    <row r="2272" spans="1:9" x14ac:dyDescent="0.35">
      <c r="A2272">
        <v>33</v>
      </c>
      <c r="B2272">
        <v>2018</v>
      </c>
      <c r="C2272">
        <v>3</v>
      </c>
      <c r="D2272" t="s">
        <v>174</v>
      </c>
      <c r="E2272" t="s">
        <v>349</v>
      </c>
      <c r="F2272" t="s">
        <v>6</v>
      </c>
      <c r="G2272" t="s">
        <v>37</v>
      </c>
      <c r="H2272" s="4">
        <v>13</v>
      </c>
      <c r="I2272" t="str">
        <f t="shared" si="35"/>
        <v>Symphurus plagusiaTongue fish</v>
      </c>
    </row>
    <row r="2273" spans="1:9" x14ac:dyDescent="0.35">
      <c r="A2273">
        <v>33</v>
      </c>
      <c r="B2273">
        <v>2018</v>
      </c>
      <c r="C2273">
        <v>3</v>
      </c>
      <c r="D2273" t="s">
        <v>174</v>
      </c>
      <c r="E2273" t="s">
        <v>349</v>
      </c>
      <c r="F2273" t="s">
        <v>6</v>
      </c>
      <c r="G2273" t="s">
        <v>37</v>
      </c>
      <c r="H2273" s="4">
        <v>14</v>
      </c>
      <c r="I2273" t="str">
        <f t="shared" si="35"/>
        <v>Symphurus plagusiaTongue fish</v>
      </c>
    </row>
    <row r="2274" spans="1:9" x14ac:dyDescent="0.35">
      <c r="A2274">
        <v>33</v>
      </c>
      <c r="B2274">
        <v>2018</v>
      </c>
      <c r="C2274">
        <v>3</v>
      </c>
      <c r="D2274" t="s">
        <v>174</v>
      </c>
      <c r="E2274" t="s">
        <v>349</v>
      </c>
      <c r="F2274" t="s">
        <v>6</v>
      </c>
      <c r="G2274" t="s">
        <v>37</v>
      </c>
      <c r="H2274" s="4">
        <v>14</v>
      </c>
      <c r="I2274" t="str">
        <f t="shared" si="35"/>
        <v>Symphurus plagusiaTongue fish</v>
      </c>
    </row>
    <row r="2275" spans="1:9" x14ac:dyDescent="0.35">
      <c r="A2275">
        <v>33</v>
      </c>
      <c r="B2275">
        <v>2018</v>
      </c>
      <c r="C2275">
        <v>3</v>
      </c>
      <c r="D2275" t="s">
        <v>174</v>
      </c>
      <c r="E2275" t="s">
        <v>349</v>
      </c>
      <c r="F2275" t="s">
        <v>6</v>
      </c>
      <c r="G2275" t="s">
        <v>37</v>
      </c>
      <c r="H2275" s="4">
        <v>9</v>
      </c>
      <c r="I2275" t="str">
        <f t="shared" si="35"/>
        <v>Symphurus plagusiaTongue fish</v>
      </c>
    </row>
    <row r="2276" spans="1:9" x14ac:dyDescent="0.35">
      <c r="A2276">
        <v>33</v>
      </c>
      <c r="B2276">
        <v>2018</v>
      </c>
      <c r="C2276">
        <v>3</v>
      </c>
      <c r="D2276" t="s">
        <v>174</v>
      </c>
      <c r="E2276" t="s">
        <v>349</v>
      </c>
      <c r="F2276" t="s">
        <v>6</v>
      </c>
      <c r="G2276" t="s">
        <v>37</v>
      </c>
      <c r="H2276" s="4">
        <v>14</v>
      </c>
      <c r="I2276" t="str">
        <f t="shared" si="35"/>
        <v>Symphurus plagusiaTongue fish</v>
      </c>
    </row>
    <row r="2277" spans="1:9" x14ac:dyDescent="0.35">
      <c r="A2277">
        <v>33</v>
      </c>
      <c r="B2277">
        <v>2018</v>
      </c>
      <c r="C2277">
        <v>3</v>
      </c>
      <c r="D2277" t="s">
        <v>174</v>
      </c>
      <c r="E2277" t="s">
        <v>349</v>
      </c>
      <c r="F2277" t="s">
        <v>6</v>
      </c>
      <c r="G2277" t="s">
        <v>37</v>
      </c>
      <c r="H2277" s="4">
        <v>14</v>
      </c>
      <c r="I2277" t="str">
        <f t="shared" si="35"/>
        <v>Symphurus plagusiaTongue fish</v>
      </c>
    </row>
    <row r="2278" spans="1:9" x14ac:dyDescent="0.35">
      <c r="A2278">
        <v>33</v>
      </c>
      <c r="B2278">
        <v>2018</v>
      </c>
      <c r="C2278">
        <v>3</v>
      </c>
      <c r="D2278" t="s">
        <v>174</v>
      </c>
      <c r="E2278" t="s">
        <v>349</v>
      </c>
      <c r="F2278" t="s">
        <v>6</v>
      </c>
      <c r="G2278" t="s">
        <v>37</v>
      </c>
      <c r="H2278" s="4">
        <v>15</v>
      </c>
      <c r="I2278" t="str">
        <f t="shared" si="35"/>
        <v>Symphurus plagusiaTongue fish</v>
      </c>
    </row>
    <row r="2279" spans="1:9" x14ac:dyDescent="0.35">
      <c r="A2279">
        <v>33</v>
      </c>
      <c r="B2279">
        <v>2018</v>
      </c>
      <c r="C2279">
        <v>3</v>
      </c>
      <c r="D2279" t="s">
        <v>174</v>
      </c>
      <c r="E2279" t="s">
        <v>349</v>
      </c>
      <c r="F2279" t="s">
        <v>6</v>
      </c>
      <c r="G2279" t="s">
        <v>37</v>
      </c>
      <c r="H2279" s="4">
        <v>12</v>
      </c>
      <c r="I2279" t="str">
        <f t="shared" si="35"/>
        <v>Symphurus plagusiaTongue fish</v>
      </c>
    </row>
    <row r="2280" spans="1:9" x14ac:dyDescent="0.35">
      <c r="A2280">
        <v>33</v>
      </c>
      <c r="B2280">
        <v>2018</v>
      </c>
      <c r="C2280">
        <v>3</v>
      </c>
      <c r="D2280" t="s">
        <v>174</v>
      </c>
      <c r="E2280" t="s">
        <v>349</v>
      </c>
      <c r="F2280" t="s">
        <v>6</v>
      </c>
      <c r="G2280" t="s">
        <v>37</v>
      </c>
      <c r="H2280" s="4">
        <v>11</v>
      </c>
      <c r="I2280" t="str">
        <f t="shared" si="35"/>
        <v>Symphurus plagusiaTongue fish</v>
      </c>
    </row>
    <row r="2281" spans="1:9" x14ac:dyDescent="0.35">
      <c r="A2281">
        <v>33</v>
      </c>
      <c r="B2281">
        <v>2018</v>
      </c>
      <c r="C2281">
        <v>3</v>
      </c>
      <c r="D2281" t="s">
        <v>174</v>
      </c>
      <c r="E2281" t="s">
        <v>349</v>
      </c>
      <c r="F2281" t="s">
        <v>6</v>
      </c>
      <c r="G2281" t="s">
        <v>37</v>
      </c>
      <c r="H2281" s="4">
        <v>13</v>
      </c>
      <c r="I2281" t="str">
        <f t="shared" si="35"/>
        <v>Symphurus plagusiaTongue fish</v>
      </c>
    </row>
    <row r="2282" spans="1:9" x14ac:dyDescent="0.35">
      <c r="A2282">
        <v>33</v>
      </c>
      <c r="B2282">
        <v>2018</v>
      </c>
      <c r="C2282">
        <v>3</v>
      </c>
      <c r="D2282" t="s">
        <v>174</v>
      </c>
      <c r="E2282" t="s">
        <v>349</v>
      </c>
      <c r="F2282" t="s">
        <v>6</v>
      </c>
      <c r="G2282" t="s">
        <v>37</v>
      </c>
      <c r="H2282" s="4">
        <v>14</v>
      </c>
      <c r="I2282" t="str">
        <f t="shared" si="35"/>
        <v>Symphurus plagusiaTongue fish</v>
      </c>
    </row>
    <row r="2283" spans="1:9" x14ac:dyDescent="0.35">
      <c r="A2283">
        <v>33</v>
      </c>
      <c r="B2283">
        <v>2018</v>
      </c>
      <c r="C2283">
        <v>3</v>
      </c>
      <c r="D2283" t="s">
        <v>174</v>
      </c>
      <c r="E2283" t="s">
        <v>349</v>
      </c>
      <c r="F2283" t="s">
        <v>6</v>
      </c>
      <c r="G2283" t="s">
        <v>37</v>
      </c>
      <c r="H2283" s="4">
        <v>12</v>
      </c>
      <c r="I2283" t="str">
        <f t="shared" si="35"/>
        <v>Symphurus plagusiaTongue fish</v>
      </c>
    </row>
    <row r="2284" spans="1:9" x14ac:dyDescent="0.35">
      <c r="A2284">
        <v>33</v>
      </c>
      <c r="B2284">
        <v>2018</v>
      </c>
      <c r="C2284">
        <v>3</v>
      </c>
      <c r="D2284" t="s">
        <v>174</v>
      </c>
      <c r="E2284" t="s">
        <v>349</v>
      </c>
      <c r="F2284" t="s">
        <v>6</v>
      </c>
      <c r="G2284" t="s">
        <v>37</v>
      </c>
      <c r="H2284" s="4">
        <v>13</v>
      </c>
      <c r="I2284" t="str">
        <f t="shared" si="35"/>
        <v>Symphurus plagusiaTongue fish</v>
      </c>
    </row>
    <row r="2285" spans="1:9" x14ac:dyDescent="0.35">
      <c r="A2285">
        <v>33</v>
      </c>
      <c r="B2285">
        <v>2018</v>
      </c>
      <c r="C2285">
        <v>3</v>
      </c>
      <c r="D2285" t="s">
        <v>174</v>
      </c>
      <c r="E2285" t="s">
        <v>349</v>
      </c>
      <c r="F2285" t="s">
        <v>6</v>
      </c>
      <c r="G2285" t="s">
        <v>37</v>
      </c>
      <c r="H2285" s="4">
        <v>15</v>
      </c>
      <c r="I2285" t="str">
        <f t="shared" si="35"/>
        <v>Symphurus plagusiaTongue fish</v>
      </c>
    </row>
    <row r="2286" spans="1:9" x14ac:dyDescent="0.35">
      <c r="A2286">
        <v>33</v>
      </c>
      <c r="B2286">
        <v>2018</v>
      </c>
      <c r="C2286">
        <v>3</v>
      </c>
      <c r="D2286" t="s">
        <v>174</v>
      </c>
      <c r="E2286" t="s">
        <v>349</v>
      </c>
      <c r="F2286" t="s">
        <v>6</v>
      </c>
      <c r="G2286" t="s">
        <v>37</v>
      </c>
      <c r="H2286" s="4">
        <v>16</v>
      </c>
      <c r="I2286" t="str">
        <f t="shared" si="35"/>
        <v>Symphurus plagusiaTongue fish</v>
      </c>
    </row>
    <row r="2287" spans="1:9" x14ac:dyDescent="0.35">
      <c r="A2287">
        <v>33</v>
      </c>
      <c r="B2287">
        <v>2018</v>
      </c>
      <c r="C2287">
        <v>3</v>
      </c>
      <c r="D2287" t="s">
        <v>174</v>
      </c>
      <c r="E2287" t="s">
        <v>349</v>
      </c>
      <c r="F2287" t="s">
        <v>6</v>
      </c>
      <c r="G2287" t="s">
        <v>37</v>
      </c>
      <c r="H2287" s="4">
        <v>14</v>
      </c>
      <c r="I2287" t="str">
        <f t="shared" si="35"/>
        <v>Symphurus plagusiaTongue fish</v>
      </c>
    </row>
    <row r="2288" spans="1:9" x14ac:dyDescent="0.35">
      <c r="A2288">
        <v>33</v>
      </c>
      <c r="B2288">
        <v>2018</v>
      </c>
      <c r="C2288">
        <v>3</v>
      </c>
      <c r="D2288" t="s">
        <v>174</v>
      </c>
      <c r="E2288" t="s">
        <v>349</v>
      </c>
      <c r="F2288" t="s">
        <v>6</v>
      </c>
      <c r="G2288" t="s">
        <v>37</v>
      </c>
      <c r="H2288" s="4">
        <v>12</v>
      </c>
      <c r="I2288" t="str">
        <f t="shared" si="35"/>
        <v>Symphurus plagusiaTongue fish</v>
      </c>
    </row>
    <row r="2289" spans="1:9" x14ac:dyDescent="0.35">
      <c r="A2289">
        <v>33</v>
      </c>
      <c r="B2289">
        <v>2018</v>
      </c>
      <c r="C2289">
        <v>3</v>
      </c>
      <c r="D2289" t="s">
        <v>174</v>
      </c>
      <c r="E2289" t="s">
        <v>349</v>
      </c>
      <c r="F2289" t="s">
        <v>6</v>
      </c>
      <c r="G2289" t="s">
        <v>37</v>
      </c>
      <c r="H2289" s="4">
        <v>11</v>
      </c>
      <c r="I2289" t="str">
        <f t="shared" si="35"/>
        <v>Symphurus plagusiaTongue fish</v>
      </c>
    </row>
    <row r="2290" spans="1:9" x14ac:dyDescent="0.35">
      <c r="A2290">
        <v>33</v>
      </c>
      <c r="B2290">
        <v>2018</v>
      </c>
      <c r="C2290">
        <v>3</v>
      </c>
      <c r="D2290" t="s">
        <v>174</v>
      </c>
      <c r="E2290" t="s">
        <v>349</v>
      </c>
      <c r="F2290" t="s">
        <v>6</v>
      </c>
      <c r="G2290" t="s">
        <v>37</v>
      </c>
      <c r="H2290" s="4">
        <v>12</v>
      </c>
      <c r="I2290" t="str">
        <f t="shared" si="35"/>
        <v>Symphurus plagusiaTongue fish</v>
      </c>
    </row>
    <row r="2291" spans="1:9" x14ac:dyDescent="0.35">
      <c r="A2291">
        <v>33</v>
      </c>
      <c r="B2291">
        <v>2018</v>
      </c>
      <c r="C2291">
        <v>3</v>
      </c>
      <c r="D2291" t="s">
        <v>174</v>
      </c>
      <c r="E2291" t="s">
        <v>349</v>
      </c>
      <c r="F2291" t="s">
        <v>6</v>
      </c>
      <c r="G2291" t="s">
        <v>37</v>
      </c>
      <c r="H2291" s="4">
        <v>14</v>
      </c>
      <c r="I2291" t="str">
        <f t="shared" si="35"/>
        <v>Symphurus plagusiaTongue fish</v>
      </c>
    </row>
    <row r="2292" spans="1:9" x14ac:dyDescent="0.35">
      <c r="A2292">
        <v>33</v>
      </c>
      <c r="B2292">
        <v>2018</v>
      </c>
      <c r="C2292">
        <v>3</v>
      </c>
      <c r="D2292" t="s">
        <v>174</v>
      </c>
      <c r="E2292" t="s">
        <v>349</v>
      </c>
      <c r="F2292" t="s">
        <v>6</v>
      </c>
      <c r="G2292" t="s">
        <v>37</v>
      </c>
      <c r="H2292" s="4">
        <v>14</v>
      </c>
      <c r="I2292" t="str">
        <f t="shared" si="35"/>
        <v>Symphurus plagusiaTongue fish</v>
      </c>
    </row>
    <row r="2293" spans="1:9" x14ac:dyDescent="0.35">
      <c r="A2293">
        <v>33</v>
      </c>
      <c r="B2293">
        <v>2018</v>
      </c>
      <c r="C2293">
        <v>3</v>
      </c>
      <c r="D2293" t="s">
        <v>174</v>
      </c>
      <c r="E2293" t="s">
        <v>349</v>
      </c>
      <c r="F2293" t="s">
        <v>6</v>
      </c>
      <c r="G2293" t="s">
        <v>37</v>
      </c>
      <c r="H2293" s="4">
        <v>13</v>
      </c>
      <c r="I2293" t="str">
        <f t="shared" si="35"/>
        <v>Symphurus plagusiaTongue fish</v>
      </c>
    </row>
    <row r="2294" spans="1:9" x14ac:dyDescent="0.35">
      <c r="A2294">
        <v>33</v>
      </c>
      <c r="B2294">
        <v>2018</v>
      </c>
      <c r="C2294">
        <v>3</v>
      </c>
      <c r="D2294" t="s">
        <v>174</v>
      </c>
      <c r="E2294" t="s">
        <v>349</v>
      </c>
      <c r="F2294" t="s">
        <v>6</v>
      </c>
      <c r="G2294" t="s">
        <v>37</v>
      </c>
      <c r="H2294" s="4">
        <v>13</v>
      </c>
      <c r="I2294" t="str">
        <f t="shared" si="35"/>
        <v>Symphurus plagusiaTongue fish</v>
      </c>
    </row>
    <row r="2295" spans="1:9" x14ac:dyDescent="0.35">
      <c r="A2295">
        <v>34</v>
      </c>
      <c r="B2295">
        <v>2018</v>
      </c>
      <c r="C2295">
        <v>3</v>
      </c>
      <c r="D2295" t="s">
        <v>176</v>
      </c>
      <c r="E2295" t="s">
        <v>349</v>
      </c>
      <c r="F2295" t="s">
        <v>43</v>
      </c>
      <c r="G2295" t="s">
        <v>57</v>
      </c>
      <c r="H2295" s="4">
        <v>15</v>
      </c>
      <c r="I2295" t="str">
        <f t="shared" si="35"/>
        <v>Cynoscion virescensSeatrout</v>
      </c>
    </row>
    <row r="2296" spans="1:9" x14ac:dyDescent="0.35">
      <c r="A2296">
        <v>34</v>
      </c>
      <c r="B2296">
        <v>2018</v>
      </c>
      <c r="C2296">
        <v>3</v>
      </c>
      <c r="D2296" t="s">
        <v>176</v>
      </c>
      <c r="E2296" t="s">
        <v>349</v>
      </c>
      <c r="F2296" t="s">
        <v>43</v>
      </c>
      <c r="G2296" t="s">
        <v>57</v>
      </c>
      <c r="H2296" s="4">
        <v>25</v>
      </c>
      <c r="I2296" t="str">
        <f t="shared" si="35"/>
        <v>Cynoscion virescensSeatrout</v>
      </c>
    </row>
    <row r="2297" spans="1:9" x14ac:dyDescent="0.35">
      <c r="A2297">
        <v>34</v>
      </c>
      <c r="B2297">
        <v>2018</v>
      </c>
      <c r="C2297">
        <v>3</v>
      </c>
      <c r="D2297" t="s">
        <v>176</v>
      </c>
      <c r="E2297" t="s">
        <v>349</v>
      </c>
      <c r="F2297" t="s">
        <v>43</v>
      </c>
      <c r="G2297" t="s">
        <v>57</v>
      </c>
      <c r="H2297" s="4">
        <v>21</v>
      </c>
      <c r="I2297" t="str">
        <f t="shared" si="35"/>
        <v>Cynoscion virescensSeatrout</v>
      </c>
    </row>
    <row r="2298" spans="1:9" x14ac:dyDescent="0.35">
      <c r="A2298">
        <v>34</v>
      </c>
      <c r="B2298">
        <v>2018</v>
      </c>
      <c r="C2298">
        <v>3</v>
      </c>
      <c r="D2298" t="s">
        <v>176</v>
      </c>
      <c r="E2298" t="s">
        <v>349</v>
      </c>
      <c r="F2298" t="s">
        <v>43</v>
      </c>
      <c r="G2298" t="s">
        <v>57</v>
      </c>
      <c r="H2298" s="4">
        <v>18</v>
      </c>
      <c r="I2298" t="str">
        <f t="shared" si="35"/>
        <v>Cynoscion virescensSeatrout</v>
      </c>
    </row>
    <row r="2299" spans="1:9" x14ac:dyDescent="0.35">
      <c r="A2299">
        <v>34</v>
      </c>
      <c r="B2299">
        <v>2018</v>
      </c>
      <c r="C2299">
        <v>3</v>
      </c>
      <c r="D2299" t="s">
        <v>176</v>
      </c>
      <c r="E2299" t="s">
        <v>349</v>
      </c>
      <c r="F2299" t="s">
        <v>43</v>
      </c>
      <c r="G2299" t="s">
        <v>57</v>
      </c>
      <c r="H2299" s="4">
        <v>16</v>
      </c>
      <c r="I2299" t="str">
        <f t="shared" si="35"/>
        <v>Cynoscion virescensSeatrout</v>
      </c>
    </row>
    <row r="2300" spans="1:9" x14ac:dyDescent="0.35">
      <c r="A2300">
        <v>34</v>
      </c>
      <c r="B2300">
        <v>2018</v>
      </c>
      <c r="C2300">
        <v>3</v>
      </c>
      <c r="D2300" t="s">
        <v>176</v>
      </c>
      <c r="E2300" t="s">
        <v>349</v>
      </c>
      <c r="F2300" t="s">
        <v>43</v>
      </c>
      <c r="G2300" t="s">
        <v>57</v>
      </c>
      <c r="H2300" s="4">
        <v>14</v>
      </c>
      <c r="I2300" t="str">
        <f t="shared" si="35"/>
        <v>Cynoscion virescensSeatrout</v>
      </c>
    </row>
    <row r="2301" spans="1:9" x14ac:dyDescent="0.35">
      <c r="A2301">
        <v>34</v>
      </c>
      <c r="B2301">
        <v>2018</v>
      </c>
      <c r="C2301">
        <v>3</v>
      </c>
      <c r="D2301" t="s">
        <v>176</v>
      </c>
      <c r="E2301" t="s">
        <v>349</v>
      </c>
      <c r="F2301" t="s">
        <v>43</v>
      </c>
      <c r="G2301" t="s">
        <v>57</v>
      </c>
      <c r="H2301" s="4">
        <v>13</v>
      </c>
      <c r="I2301" t="str">
        <f t="shared" si="35"/>
        <v>Cynoscion virescensSeatrout</v>
      </c>
    </row>
    <row r="2302" spans="1:9" x14ac:dyDescent="0.35">
      <c r="A2302">
        <v>34</v>
      </c>
      <c r="B2302">
        <v>2018</v>
      </c>
      <c r="C2302">
        <v>3</v>
      </c>
      <c r="D2302" t="s">
        <v>176</v>
      </c>
      <c r="E2302" t="s">
        <v>349</v>
      </c>
      <c r="F2302" t="s">
        <v>43</v>
      </c>
      <c r="G2302" t="s">
        <v>57</v>
      </c>
      <c r="H2302" s="4">
        <v>15</v>
      </c>
      <c r="I2302" t="str">
        <f t="shared" si="35"/>
        <v>Cynoscion virescensSeatrout</v>
      </c>
    </row>
    <row r="2303" spans="1:9" x14ac:dyDescent="0.35">
      <c r="A2303">
        <v>34</v>
      </c>
      <c r="B2303">
        <v>2018</v>
      </c>
      <c r="C2303">
        <v>3</v>
      </c>
      <c r="D2303" t="s">
        <v>176</v>
      </c>
      <c r="E2303" t="s">
        <v>349</v>
      </c>
      <c r="F2303" t="s">
        <v>43</v>
      </c>
      <c r="G2303" t="s">
        <v>57</v>
      </c>
      <c r="H2303" s="4">
        <v>12</v>
      </c>
      <c r="I2303" t="str">
        <f t="shared" si="35"/>
        <v>Cynoscion virescensSeatrout</v>
      </c>
    </row>
    <row r="2304" spans="1:9" x14ac:dyDescent="0.35">
      <c r="A2304">
        <v>34</v>
      </c>
      <c r="B2304">
        <v>2018</v>
      </c>
      <c r="C2304">
        <v>3</v>
      </c>
      <c r="D2304" t="s">
        <v>176</v>
      </c>
      <c r="E2304" t="s">
        <v>349</v>
      </c>
      <c r="F2304" t="s">
        <v>43</v>
      </c>
      <c r="G2304" t="s">
        <v>57</v>
      </c>
      <c r="H2304" s="4">
        <v>16</v>
      </c>
      <c r="I2304" t="str">
        <f t="shared" si="35"/>
        <v>Cynoscion virescensSeatrout</v>
      </c>
    </row>
    <row r="2305" spans="1:9" x14ac:dyDescent="0.35">
      <c r="A2305">
        <v>34</v>
      </c>
      <c r="B2305">
        <v>2018</v>
      </c>
      <c r="C2305">
        <v>3</v>
      </c>
      <c r="D2305" t="s">
        <v>176</v>
      </c>
      <c r="E2305" t="s">
        <v>349</v>
      </c>
      <c r="F2305" t="s">
        <v>43</v>
      </c>
      <c r="G2305" t="s">
        <v>57</v>
      </c>
      <c r="H2305" s="4">
        <v>14</v>
      </c>
      <c r="I2305" t="str">
        <f t="shared" si="35"/>
        <v>Cynoscion virescensSeatrout</v>
      </c>
    </row>
    <row r="2306" spans="1:9" x14ac:dyDescent="0.35">
      <c r="A2306">
        <v>34</v>
      </c>
      <c r="B2306">
        <v>2018</v>
      </c>
      <c r="C2306">
        <v>3</v>
      </c>
      <c r="D2306" t="s">
        <v>176</v>
      </c>
      <c r="E2306" t="s">
        <v>349</v>
      </c>
      <c r="F2306" t="s">
        <v>43</v>
      </c>
      <c r="G2306" t="s">
        <v>57</v>
      </c>
      <c r="H2306" s="4">
        <v>12</v>
      </c>
      <c r="I2306" t="str">
        <f t="shared" ref="I2306:I2369" si="36">CONCATENATE(F2306,G2306)</f>
        <v>Cynoscion virescensSeatrout</v>
      </c>
    </row>
    <row r="2307" spans="1:9" x14ac:dyDescent="0.35">
      <c r="A2307">
        <v>34</v>
      </c>
      <c r="B2307">
        <v>2018</v>
      </c>
      <c r="C2307">
        <v>3</v>
      </c>
      <c r="D2307" t="s">
        <v>176</v>
      </c>
      <c r="E2307" t="s">
        <v>349</v>
      </c>
      <c r="F2307" t="s">
        <v>43</v>
      </c>
      <c r="G2307" t="s">
        <v>57</v>
      </c>
      <c r="H2307" s="4">
        <v>17</v>
      </c>
      <c r="I2307" t="str">
        <f t="shared" si="36"/>
        <v>Cynoscion virescensSeatrout</v>
      </c>
    </row>
    <row r="2308" spans="1:9" x14ac:dyDescent="0.35">
      <c r="A2308">
        <v>34</v>
      </c>
      <c r="B2308">
        <v>2018</v>
      </c>
      <c r="C2308">
        <v>3</v>
      </c>
      <c r="D2308" t="s">
        <v>176</v>
      </c>
      <c r="E2308" t="s">
        <v>349</v>
      </c>
      <c r="F2308" t="s">
        <v>43</v>
      </c>
      <c r="G2308" t="s">
        <v>57</v>
      </c>
      <c r="H2308" s="4">
        <v>15</v>
      </c>
      <c r="I2308" t="str">
        <f t="shared" si="36"/>
        <v>Cynoscion virescensSeatrout</v>
      </c>
    </row>
    <row r="2309" spans="1:9" x14ac:dyDescent="0.35">
      <c r="A2309">
        <v>34</v>
      </c>
      <c r="B2309">
        <v>2018</v>
      </c>
      <c r="C2309">
        <v>3</v>
      </c>
      <c r="D2309" t="s">
        <v>176</v>
      </c>
      <c r="E2309" t="s">
        <v>349</v>
      </c>
      <c r="F2309" t="s">
        <v>43</v>
      </c>
      <c r="G2309" t="s">
        <v>57</v>
      </c>
      <c r="H2309" s="4">
        <v>18</v>
      </c>
      <c r="I2309" t="str">
        <f t="shared" si="36"/>
        <v>Cynoscion virescensSeatrout</v>
      </c>
    </row>
    <row r="2310" spans="1:9" x14ac:dyDescent="0.35">
      <c r="A2310">
        <v>34</v>
      </c>
      <c r="B2310">
        <v>2018</v>
      </c>
      <c r="C2310">
        <v>3</v>
      </c>
      <c r="D2310" t="s">
        <v>176</v>
      </c>
      <c r="E2310" t="s">
        <v>349</v>
      </c>
      <c r="F2310" t="s">
        <v>43</v>
      </c>
      <c r="G2310" t="s">
        <v>57</v>
      </c>
      <c r="H2310" s="4">
        <v>19</v>
      </c>
      <c r="I2310" t="str">
        <f t="shared" si="36"/>
        <v>Cynoscion virescensSeatrout</v>
      </c>
    </row>
    <row r="2311" spans="1:9" x14ac:dyDescent="0.35">
      <c r="A2311">
        <v>34</v>
      </c>
      <c r="B2311">
        <v>2018</v>
      </c>
      <c r="C2311">
        <v>3</v>
      </c>
      <c r="D2311" t="s">
        <v>176</v>
      </c>
      <c r="E2311" t="s">
        <v>349</v>
      </c>
      <c r="F2311" t="s">
        <v>43</v>
      </c>
      <c r="G2311" t="s">
        <v>57</v>
      </c>
      <c r="H2311" s="4">
        <v>19</v>
      </c>
      <c r="I2311" t="str">
        <f t="shared" si="36"/>
        <v>Cynoscion virescensSeatrout</v>
      </c>
    </row>
    <row r="2312" spans="1:9" x14ac:dyDescent="0.35">
      <c r="A2312">
        <v>34</v>
      </c>
      <c r="B2312">
        <v>2018</v>
      </c>
      <c r="C2312">
        <v>3</v>
      </c>
      <c r="D2312" t="s">
        <v>176</v>
      </c>
      <c r="E2312" t="s">
        <v>349</v>
      </c>
      <c r="F2312" t="s">
        <v>43</v>
      </c>
      <c r="G2312" t="s">
        <v>57</v>
      </c>
      <c r="H2312" s="4">
        <v>13</v>
      </c>
      <c r="I2312" t="str">
        <f t="shared" si="36"/>
        <v>Cynoscion virescensSeatrout</v>
      </c>
    </row>
    <row r="2313" spans="1:9" x14ac:dyDescent="0.35">
      <c r="A2313">
        <v>34</v>
      </c>
      <c r="B2313">
        <v>2018</v>
      </c>
      <c r="C2313">
        <v>3</v>
      </c>
      <c r="D2313" t="s">
        <v>176</v>
      </c>
      <c r="E2313" t="s">
        <v>349</v>
      </c>
      <c r="F2313" t="s">
        <v>43</v>
      </c>
      <c r="G2313" t="s">
        <v>57</v>
      </c>
      <c r="H2313" s="4">
        <v>8</v>
      </c>
      <c r="I2313" t="str">
        <f t="shared" si="36"/>
        <v>Cynoscion virescensSeatrout</v>
      </c>
    </row>
    <row r="2314" spans="1:9" x14ac:dyDescent="0.35">
      <c r="A2314">
        <v>34</v>
      </c>
      <c r="B2314">
        <v>2018</v>
      </c>
      <c r="C2314">
        <v>3</v>
      </c>
      <c r="D2314" t="s">
        <v>176</v>
      </c>
      <c r="E2314" t="s">
        <v>349</v>
      </c>
      <c r="F2314" t="s">
        <v>43</v>
      </c>
      <c r="G2314" t="s">
        <v>57</v>
      </c>
      <c r="H2314" s="4">
        <v>13</v>
      </c>
      <c r="I2314" t="str">
        <f t="shared" si="36"/>
        <v>Cynoscion virescensSeatrout</v>
      </c>
    </row>
    <row r="2315" spans="1:9" x14ac:dyDescent="0.35">
      <c r="A2315">
        <v>34</v>
      </c>
      <c r="B2315">
        <v>2018</v>
      </c>
      <c r="C2315">
        <v>3</v>
      </c>
      <c r="D2315" t="s">
        <v>176</v>
      </c>
      <c r="E2315" t="s">
        <v>349</v>
      </c>
      <c r="F2315" t="s">
        <v>43</v>
      </c>
      <c r="G2315" t="s">
        <v>57</v>
      </c>
      <c r="H2315" s="4">
        <v>19</v>
      </c>
      <c r="I2315" t="str">
        <f t="shared" si="36"/>
        <v>Cynoscion virescensSeatrout</v>
      </c>
    </row>
    <row r="2316" spans="1:9" x14ac:dyDescent="0.35">
      <c r="A2316">
        <v>34</v>
      </c>
      <c r="B2316">
        <v>2018</v>
      </c>
      <c r="C2316">
        <v>3</v>
      </c>
      <c r="D2316" t="s">
        <v>176</v>
      </c>
      <c r="E2316" t="s">
        <v>349</v>
      </c>
      <c r="F2316" t="s">
        <v>43</v>
      </c>
      <c r="G2316" t="s">
        <v>57</v>
      </c>
      <c r="H2316" s="4">
        <v>9</v>
      </c>
      <c r="I2316" t="str">
        <f t="shared" si="36"/>
        <v>Cynoscion virescensSeatrout</v>
      </c>
    </row>
    <row r="2317" spans="1:9" x14ac:dyDescent="0.35">
      <c r="A2317">
        <v>34</v>
      </c>
      <c r="B2317">
        <v>2018</v>
      </c>
      <c r="C2317">
        <v>3</v>
      </c>
      <c r="D2317" t="s">
        <v>176</v>
      </c>
      <c r="E2317" t="s">
        <v>349</v>
      </c>
      <c r="F2317" t="s">
        <v>43</v>
      </c>
      <c r="G2317" t="s">
        <v>57</v>
      </c>
      <c r="H2317" s="4">
        <v>9</v>
      </c>
      <c r="I2317" t="str">
        <f t="shared" si="36"/>
        <v>Cynoscion virescensSeatrout</v>
      </c>
    </row>
    <row r="2318" spans="1:9" x14ac:dyDescent="0.35">
      <c r="A2318">
        <v>34</v>
      </c>
      <c r="B2318">
        <v>2018</v>
      </c>
      <c r="C2318">
        <v>3</v>
      </c>
      <c r="D2318" t="s">
        <v>176</v>
      </c>
      <c r="E2318" t="s">
        <v>349</v>
      </c>
      <c r="F2318" t="s">
        <v>43</v>
      </c>
      <c r="G2318" t="s">
        <v>57</v>
      </c>
      <c r="H2318" s="4">
        <v>17</v>
      </c>
      <c r="I2318" t="str">
        <f t="shared" si="36"/>
        <v>Cynoscion virescensSeatrout</v>
      </c>
    </row>
    <row r="2319" spans="1:9" x14ac:dyDescent="0.35">
      <c r="A2319">
        <v>34</v>
      </c>
      <c r="B2319">
        <v>2018</v>
      </c>
      <c r="C2319">
        <v>3</v>
      </c>
      <c r="D2319" t="s">
        <v>176</v>
      </c>
      <c r="E2319" t="s">
        <v>349</v>
      </c>
      <c r="F2319" t="s">
        <v>43</v>
      </c>
      <c r="G2319" t="s">
        <v>57</v>
      </c>
      <c r="H2319" s="4">
        <v>9</v>
      </c>
      <c r="I2319" t="str">
        <f t="shared" si="36"/>
        <v>Cynoscion virescensSeatrout</v>
      </c>
    </row>
    <row r="2320" spans="1:9" x14ac:dyDescent="0.35">
      <c r="A2320">
        <v>34</v>
      </c>
      <c r="B2320">
        <v>2018</v>
      </c>
      <c r="C2320">
        <v>3</v>
      </c>
      <c r="D2320" t="s">
        <v>176</v>
      </c>
      <c r="E2320" t="s">
        <v>349</v>
      </c>
      <c r="F2320" t="s">
        <v>43</v>
      </c>
      <c r="G2320" t="s">
        <v>57</v>
      </c>
      <c r="H2320" s="4">
        <v>12</v>
      </c>
      <c r="I2320" t="str">
        <f t="shared" si="36"/>
        <v>Cynoscion virescensSeatrout</v>
      </c>
    </row>
    <row r="2321" spans="1:9" x14ac:dyDescent="0.35">
      <c r="A2321">
        <v>34</v>
      </c>
      <c r="B2321">
        <v>2018</v>
      </c>
      <c r="C2321">
        <v>3</v>
      </c>
      <c r="D2321" t="s">
        <v>176</v>
      </c>
      <c r="E2321" t="s">
        <v>349</v>
      </c>
      <c r="F2321" t="s">
        <v>43</v>
      </c>
      <c r="G2321" t="s">
        <v>57</v>
      </c>
      <c r="H2321" s="4">
        <v>15</v>
      </c>
      <c r="I2321" t="str">
        <f t="shared" si="36"/>
        <v>Cynoscion virescensSeatrout</v>
      </c>
    </row>
    <row r="2322" spans="1:9" x14ac:dyDescent="0.35">
      <c r="A2322">
        <v>34</v>
      </c>
      <c r="B2322">
        <v>2018</v>
      </c>
      <c r="C2322">
        <v>3</v>
      </c>
      <c r="D2322" t="s">
        <v>176</v>
      </c>
      <c r="E2322" t="s">
        <v>349</v>
      </c>
      <c r="F2322" t="s">
        <v>43</v>
      </c>
      <c r="G2322" t="s">
        <v>57</v>
      </c>
      <c r="H2322" s="4">
        <v>14</v>
      </c>
      <c r="I2322" t="str">
        <f t="shared" si="36"/>
        <v>Cynoscion virescensSeatrout</v>
      </c>
    </row>
    <row r="2323" spans="1:9" x14ac:dyDescent="0.35">
      <c r="A2323">
        <v>34</v>
      </c>
      <c r="B2323">
        <v>2018</v>
      </c>
      <c r="C2323">
        <v>3</v>
      </c>
      <c r="D2323" t="s">
        <v>176</v>
      </c>
      <c r="E2323" t="s">
        <v>349</v>
      </c>
      <c r="F2323" t="s">
        <v>43</v>
      </c>
      <c r="G2323" t="s">
        <v>57</v>
      </c>
      <c r="H2323" s="4">
        <v>10</v>
      </c>
      <c r="I2323" t="str">
        <f t="shared" si="36"/>
        <v>Cynoscion virescensSeatrout</v>
      </c>
    </row>
    <row r="2324" spans="1:9" x14ac:dyDescent="0.35">
      <c r="A2324">
        <v>34</v>
      </c>
      <c r="B2324">
        <v>2018</v>
      </c>
      <c r="C2324">
        <v>3</v>
      </c>
      <c r="D2324" t="s">
        <v>176</v>
      </c>
      <c r="E2324" t="s">
        <v>349</v>
      </c>
      <c r="F2324" t="s">
        <v>43</v>
      </c>
      <c r="G2324" t="s">
        <v>57</v>
      </c>
      <c r="H2324" s="4">
        <v>10</v>
      </c>
      <c r="I2324" t="str">
        <f t="shared" si="36"/>
        <v>Cynoscion virescensSeatrout</v>
      </c>
    </row>
    <row r="2325" spans="1:9" x14ac:dyDescent="0.35">
      <c r="A2325">
        <v>34</v>
      </c>
      <c r="B2325">
        <v>2018</v>
      </c>
      <c r="C2325">
        <v>3</v>
      </c>
      <c r="D2325" t="s">
        <v>176</v>
      </c>
      <c r="E2325" t="s">
        <v>349</v>
      </c>
      <c r="F2325" t="s">
        <v>40</v>
      </c>
      <c r="G2325" t="s">
        <v>35</v>
      </c>
      <c r="H2325" s="4">
        <v>16</v>
      </c>
      <c r="I2325" t="str">
        <f t="shared" si="36"/>
        <v>Macrodon ancylodonBangamary</v>
      </c>
    </row>
    <row r="2326" spans="1:9" x14ac:dyDescent="0.35">
      <c r="A2326">
        <v>34</v>
      </c>
      <c r="B2326">
        <v>2018</v>
      </c>
      <c r="C2326">
        <v>3</v>
      </c>
      <c r="D2326" t="s">
        <v>176</v>
      </c>
      <c r="E2326" t="s">
        <v>349</v>
      </c>
      <c r="F2326" t="s">
        <v>40</v>
      </c>
      <c r="G2326" t="s">
        <v>35</v>
      </c>
      <c r="H2326" s="4">
        <v>9</v>
      </c>
      <c r="I2326" t="str">
        <f t="shared" si="36"/>
        <v>Macrodon ancylodonBangamary</v>
      </c>
    </row>
    <row r="2327" spans="1:9" x14ac:dyDescent="0.35">
      <c r="A2327">
        <v>34</v>
      </c>
      <c r="B2327">
        <v>2018</v>
      </c>
      <c r="C2327">
        <v>3</v>
      </c>
      <c r="D2327" t="s">
        <v>176</v>
      </c>
      <c r="E2327" t="s">
        <v>349</v>
      </c>
      <c r="F2327" t="s">
        <v>40</v>
      </c>
      <c r="G2327" t="s">
        <v>35</v>
      </c>
      <c r="H2327" s="4">
        <v>15</v>
      </c>
      <c r="I2327" t="str">
        <f t="shared" si="36"/>
        <v>Macrodon ancylodonBangamary</v>
      </c>
    </row>
    <row r="2328" spans="1:9" x14ac:dyDescent="0.35">
      <c r="A2328">
        <v>34</v>
      </c>
      <c r="B2328">
        <v>2018</v>
      </c>
      <c r="C2328">
        <v>3</v>
      </c>
      <c r="D2328" t="s">
        <v>176</v>
      </c>
      <c r="E2328" t="s">
        <v>349</v>
      </c>
      <c r="F2328" t="s">
        <v>40</v>
      </c>
      <c r="G2328" t="s">
        <v>35</v>
      </c>
      <c r="H2328" s="4">
        <v>16</v>
      </c>
      <c r="I2328" t="str">
        <f t="shared" si="36"/>
        <v>Macrodon ancylodonBangamary</v>
      </c>
    </row>
    <row r="2329" spans="1:9" x14ac:dyDescent="0.35">
      <c r="A2329">
        <v>34</v>
      </c>
      <c r="B2329">
        <v>2018</v>
      </c>
      <c r="C2329">
        <v>3</v>
      </c>
      <c r="D2329" t="s">
        <v>176</v>
      </c>
      <c r="E2329" t="s">
        <v>349</v>
      </c>
      <c r="F2329" t="s">
        <v>40</v>
      </c>
      <c r="G2329" t="s">
        <v>35</v>
      </c>
      <c r="H2329" s="4">
        <v>13</v>
      </c>
      <c r="I2329" t="str">
        <f t="shared" si="36"/>
        <v>Macrodon ancylodonBangamary</v>
      </c>
    </row>
    <row r="2330" spans="1:9" x14ac:dyDescent="0.35">
      <c r="A2330">
        <v>34</v>
      </c>
      <c r="B2330">
        <v>2018</v>
      </c>
      <c r="C2330">
        <v>3</v>
      </c>
      <c r="D2330" t="s">
        <v>176</v>
      </c>
      <c r="E2330" t="s">
        <v>349</v>
      </c>
      <c r="F2330" t="s">
        <v>40</v>
      </c>
      <c r="G2330" t="s">
        <v>35</v>
      </c>
      <c r="H2330" s="4">
        <v>8</v>
      </c>
      <c r="I2330" t="str">
        <f t="shared" si="36"/>
        <v>Macrodon ancylodonBangamary</v>
      </c>
    </row>
    <row r="2331" spans="1:9" x14ac:dyDescent="0.35">
      <c r="A2331">
        <v>34</v>
      </c>
      <c r="B2331">
        <v>2018</v>
      </c>
      <c r="C2331">
        <v>3</v>
      </c>
      <c r="D2331" t="s">
        <v>176</v>
      </c>
      <c r="E2331" t="s">
        <v>349</v>
      </c>
      <c r="F2331" t="s">
        <v>40</v>
      </c>
      <c r="G2331" t="s">
        <v>35</v>
      </c>
      <c r="H2331" s="4">
        <v>12</v>
      </c>
      <c r="I2331" t="str">
        <f t="shared" si="36"/>
        <v>Macrodon ancylodonBangamary</v>
      </c>
    </row>
    <row r="2332" spans="1:9" x14ac:dyDescent="0.35">
      <c r="A2332">
        <v>34</v>
      </c>
      <c r="B2332">
        <v>2018</v>
      </c>
      <c r="C2332">
        <v>3</v>
      </c>
      <c r="D2332" t="s">
        <v>176</v>
      </c>
      <c r="E2332" t="s">
        <v>349</v>
      </c>
      <c r="F2332" t="s">
        <v>40</v>
      </c>
      <c r="G2332" t="s">
        <v>35</v>
      </c>
      <c r="H2332" s="4">
        <v>16</v>
      </c>
      <c r="I2332" t="str">
        <f t="shared" si="36"/>
        <v>Macrodon ancylodonBangamary</v>
      </c>
    </row>
    <row r="2333" spans="1:9" x14ac:dyDescent="0.35">
      <c r="A2333">
        <v>34</v>
      </c>
      <c r="B2333">
        <v>2018</v>
      </c>
      <c r="C2333">
        <v>3</v>
      </c>
      <c r="D2333" t="s">
        <v>176</v>
      </c>
      <c r="E2333" t="s">
        <v>349</v>
      </c>
      <c r="F2333" t="s">
        <v>40</v>
      </c>
      <c r="G2333" t="s">
        <v>35</v>
      </c>
      <c r="H2333" s="4">
        <v>12</v>
      </c>
      <c r="I2333" t="str">
        <f t="shared" si="36"/>
        <v>Macrodon ancylodonBangamary</v>
      </c>
    </row>
    <row r="2334" spans="1:9" x14ac:dyDescent="0.35">
      <c r="A2334">
        <v>34</v>
      </c>
      <c r="B2334">
        <v>2018</v>
      </c>
      <c r="C2334">
        <v>3</v>
      </c>
      <c r="D2334" t="s">
        <v>176</v>
      </c>
      <c r="E2334" t="s">
        <v>349</v>
      </c>
      <c r="F2334" t="s">
        <v>40</v>
      </c>
      <c r="G2334" t="s">
        <v>35</v>
      </c>
      <c r="H2334" s="4">
        <v>9</v>
      </c>
      <c r="I2334" t="str">
        <f t="shared" si="36"/>
        <v>Macrodon ancylodonBangamary</v>
      </c>
    </row>
    <row r="2335" spans="1:9" x14ac:dyDescent="0.35">
      <c r="A2335">
        <v>34</v>
      </c>
      <c r="B2335">
        <v>2018</v>
      </c>
      <c r="C2335">
        <v>3</v>
      </c>
      <c r="D2335" t="s">
        <v>176</v>
      </c>
      <c r="E2335" t="s">
        <v>349</v>
      </c>
      <c r="F2335" t="s">
        <v>40</v>
      </c>
      <c r="G2335" t="s">
        <v>35</v>
      </c>
      <c r="H2335" s="4">
        <v>15</v>
      </c>
      <c r="I2335" t="str">
        <f t="shared" si="36"/>
        <v>Macrodon ancylodonBangamary</v>
      </c>
    </row>
    <row r="2336" spans="1:9" x14ac:dyDescent="0.35">
      <c r="A2336">
        <v>34</v>
      </c>
      <c r="B2336">
        <v>2018</v>
      </c>
      <c r="C2336">
        <v>3</v>
      </c>
      <c r="D2336" t="s">
        <v>176</v>
      </c>
      <c r="E2336" t="s">
        <v>349</v>
      </c>
      <c r="F2336" t="s">
        <v>40</v>
      </c>
      <c r="G2336" t="s">
        <v>35</v>
      </c>
      <c r="H2336" s="4">
        <v>12</v>
      </c>
      <c r="I2336" t="str">
        <f t="shared" si="36"/>
        <v>Macrodon ancylodonBangamary</v>
      </c>
    </row>
    <row r="2337" spans="1:9" x14ac:dyDescent="0.35">
      <c r="A2337">
        <v>34</v>
      </c>
      <c r="B2337">
        <v>2018</v>
      </c>
      <c r="C2337">
        <v>3</v>
      </c>
      <c r="D2337" t="s">
        <v>176</v>
      </c>
      <c r="E2337" t="s">
        <v>349</v>
      </c>
      <c r="F2337" t="s">
        <v>40</v>
      </c>
      <c r="G2337" t="s">
        <v>35</v>
      </c>
      <c r="H2337" s="4">
        <v>13</v>
      </c>
      <c r="I2337" t="str">
        <f t="shared" si="36"/>
        <v>Macrodon ancylodonBangamary</v>
      </c>
    </row>
    <row r="2338" spans="1:9" x14ac:dyDescent="0.35">
      <c r="A2338">
        <v>34</v>
      </c>
      <c r="B2338">
        <v>2018</v>
      </c>
      <c r="C2338">
        <v>3</v>
      </c>
      <c r="D2338" t="s">
        <v>176</v>
      </c>
      <c r="E2338" t="s">
        <v>349</v>
      </c>
      <c r="F2338" t="s">
        <v>40</v>
      </c>
      <c r="G2338" t="s">
        <v>35</v>
      </c>
      <c r="H2338" s="4">
        <v>15</v>
      </c>
      <c r="I2338" t="str">
        <f t="shared" si="36"/>
        <v>Macrodon ancylodonBangamary</v>
      </c>
    </row>
    <row r="2339" spans="1:9" x14ac:dyDescent="0.35">
      <c r="A2339">
        <v>34</v>
      </c>
      <c r="B2339">
        <v>2018</v>
      </c>
      <c r="C2339">
        <v>3</v>
      </c>
      <c r="D2339" t="s">
        <v>176</v>
      </c>
      <c r="E2339" t="s">
        <v>349</v>
      </c>
      <c r="F2339" t="s">
        <v>40</v>
      </c>
      <c r="G2339" t="s">
        <v>35</v>
      </c>
      <c r="H2339" s="4">
        <v>10</v>
      </c>
      <c r="I2339" t="str">
        <f t="shared" si="36"/>
        <v>Macrodon ancylodonBangamary</v>
      </c>
    </row>
    <row r="2340" spans="1:9" x14ac:dyDescent="0.35">
      <c r="A2340">
        <v>34</v>
      </c>
      <c r="B2340">
        <v>2018</v>
      </c>
      <c r="C2340">
        <v>3</v>
      </c>
      <c r="D2340" t="s">
        <v>176</v>
      </c>
      <c r="E2340" t="s">
        <v>349</v>
      </c>
      <c r="F2340" t="s">
        <v>40</v>
      </c>
      <c r="G2340" t="s">
        <v>35</v>
      </c>
      <c r="H2340" s="4">
        <v>12</v>
      </c>
      <c r="I2340" t="str">
        <f t="shared" si="36"/>
        <v>Macrodon ancylodonBangamary</v>
      </c>
    </row>
    <row r="2341" spans="1:9" x14ac:dyDescent="0.35">
      <c r="A2341">
        <v>34</v>
      </c>
      <c r="B2341">
        <v>2018</v>
      </c>
      <c r="C2341">
        <v>3</v>
      </c>
      <c r="D2341" t="s">
        <v>176</v>
      </c>
      <c r="E2341" t="s">
        <v>349</v>
      </c>
      <c r="F2341" t="s">
        <v>40</v>
      </c>
      <c r="G2341" t="s">
        <v>35</v>
      </c>
      <c r="H2341" s="4">
        <v>18</v>
      </c>
      <c r="I2341" t="str">
        <f t="shared" si="36"/>
        <v>Macrodon ancylodonBangamary</v>
      </c>
    </row>
    <row r="2342" spans="1:9" x14ac:dyDescent="0.35">
      <c r="A2342">
        <v>34</v>
      </c>
      <c r="B2342">
        <v>2018</v>
      </c>
      <c r="C2342">
        <v>3</v>
      </c>
      <c r="D2342" t="s">
        <v>176</v>
      </c>
      <c r="E2342" t="s">
        <v>349</v>
      </c>
      <c r="F2342" t="s">
        <v>40</v>
      </c>
      <c r="G2342" t="s">
        <v>35</v>
      </c>
      <c r="H2342" s="4">
        <v>11</v>
      </c>
      <c r="I2342" t="str">
        <f t="shared" si="36"/>
        <v>Macrodon ancylodonBangamary</v>
      </c>
    </row>
    <row r="2343" spans="1:9" x14ac:dyDescent="0.35">
      <c r="A2343">
        <v>34</v>
      </c>
      <c r="B2343">
        <v>2018</v>
      </c>
      <c r="C2343">
        <v>3</v>
      </c>
      <c r="D2343" t="s">
        <v>176</v>
      </c>
      <c r="E2343" t="s">
        <v>349</v>
      </c>
      <c r="F2343" t="s">
        <v>40</v>
      </c>
      <c r="G2343" t="s">
        <v>35</v>
      </c>
      <c r="H2343" s="4">
        <v>13</v>
      </c>
      <c r="I2343" t="str">
        <f t="shared" si="36"/>
        <v>Macrodon ancylodonBangamary</v>
      </c>
    </row>
    <row r="2344" spans="1:9" x14ac:dyDescent="0.35">
      <c r="A2344">
        <v>34</v>
      </c>
      <c r="B2344">
        <v>2018</v>
      </c>
      <c r="C2344">
        <v>3</v>
      </c>
      <c r="D2344" t="s">
        <v>176</v>
      </c>
      <c r="E2344" t="s">
        <v>349</v>
      </c>
      <c r="F2344" t="s">
        <v>40</v>
      </c>
      <c r="G2344" t="s">
        <v>35</v>
      </c>
      <c r="H2344" s="4">
        <v>14</v>
      </c>
      <c r="I2344" t="str">
        <f t="shared" si="36"/>
        <v>Macrodon ancylodonBangamary</v>
      </c>
    </row>
    <row r="2345" spans="1:9" x14ac:dyDescent="0.35">
      <c r="A2345">
        <v>34</v>
      </c>
      <c r="B2345">
        <v>2018</v>
      </c>
      <c r="C2345">
        <v>3</v>
      </c>
      <c r="D2345" t="s">
        <v>176</v>
      </c>
      <c r="E2345" t="s">
        <v>349</v>
      </c>
      <c r="F2345" t="s">
        <v>40</v>
      </c>
      <c r="G2345" t="s">
        <v>35</v>
      </c>
      <c r="H2345" s="4">
        <v>14</v>
      </c>
      <c r="I2345" t="str">
        <f t="shared" si="36"/>
        <v>Macrodon ancylodonBangamary</v>
      </c>
    </row>
    <row r="2346" spans="1:9" x14ac:dyDescent="0.35">
      <c r="A2346">
        <v>34</v>
      </c>
      <c r="B2346">
        <v>2018</v>
      </c>
      <c r="C2346">
        <v>3</v>
      </c>
      <c r="D2346" t="s">
        <v>176</v>
      </c>
      <c r="E2346" t="s">
        <v>349</v>
      </c>
      <c r="F2346" t="s">
        <v>40</v>
      </c>
      <c r="G2346" t="s">
        <v>35</v>
      </c>
      <c r="H2346" s="4">
        <v>20</v>
      </c>
      <c r="I2346" t="str">
        <f t="shared" si="36"/>
        <v>Macrodon ancylodonBangamary</v>
      </c>
    </row>
    <row r="2347" spans="1:9" x14ac:dyDescent="0.35">
      <c r="A2347">
        <v>34</v>
      </c>
      <c r="B2347">
        <v>2018</v>
      </c>
      <c r="C2347">
        <v>3</v>
      </c>
      <c r="D2347" t="s">
        <v>176</v>
      </c>
      <c r="E2347" t="s">
        <v>349</v>
      </c>
      <c r="F2347" t="s">
        <v>40</v>
      </c>
      <c r="G2347" t="s">
        <v>35</v>
      </c>
      <c r="H2347" s="4">
        <v>11</v>
      </c>
      <c r="I2347" t="str">
        <f t="shared" si="36"/>
        <v>Macrodon ancylodonBangamary</v>
      </c>
    </row>
    <row r="2348" spans="1:9" x14ac:dyDescent="0.35">
      <c r="A2348">
        <v>34</v>
      </c>
      <c r="B2348">
        <v>2018</v>
      </c>
      <c r="C2348">
        <v>3</v>
      </c>
      <c r="D2348" t="s">
        <v>176</v>
      </c>
      <c r="E2348" t="s">
        <v>349</v>
      </c>
      <c r="F2348" t="s">
        <v>40</v>
      </c>
      <c r="G2348" t="s">
        <v>35</v>
      </c>
      <c r="H2348" s="4">
        <v>19</v>
      </c>
      <c r="I2348" t="str">
        <f t="shared" si="36"/>
        <v>Macrodon ancylodonBangamary</v>
      </c>
    </row>
    <row r="2349" spans="1:9" x14ac:dyDescent="0.35">
      <c r="A2349">
        <v>34</v>
      </c>
      <c r="B2349">
        <v>2018</v>
      </c>
      <c r="C2349">
        <v>3</v>
      </c>
      <c r="D2349" t="s">
        <v>176</v>
      </c>
      <c r="E2349" t="s">
        <v>349</v>
      </c>
      <c r="F2349" t="s">
        <v>40</v>
      </c>
      <c r="G2349" t="s">
        <v>35</v>
      </c>
      <c r="H2349" s="4">
        <v>12</v>
      </c>
      <c r="I2349" t="str">
        <f t="shared" si="36"/>
        <v>Macrodon ancylodonBangamary</v>
      </c>
    </row>
    <row r="2350" spans="1:9" x14ac:dyDescent="0.35">
      <c r="A2350">
        <v>34</v>
      </c>
      <c r="B2350">
        <v>2018</v>
      </c>
      <c r="C2350">
        <v>3</v>
      </c>
      <c r="D2350" t="s">
        <v>176</v>
      </c>
      <c r="E2350" t="s">
        <v>349</v>
      </c>
      <c r="F2350" t="s">
        <v>40</v>
      </c>
      <c r="G2350" t="s">
        <v>35</v>
      </c>
      <c r="H2350" s="4">
        <v>13</v>
      </c>
      <c r="I2350" t="str">
        <f t="shared" si="36"/>
        <v>Macrodon ancylodonBangamary</v>
      </c>
    </row>
    <row r="2351" spans="1:9" x14ac:dyDescent="0.35">
      <c r="A2351">
        <v>34</v>
      </c>
      <c r="B2351">
        <v>2018</v>
      </c>
      <c r="C2351">
        <v>3</v>
      </c>
      <c r="D2351" t="s">
        <v>176</v>
      </c>
      <c r="E2351" t="s">
        <v>349</v>
      </c>
      <c r="F2351" t="s">
        <v>40</v>
      </c>
      <c r="G2351" t="s">
        <v>35</v>
      </c>
      <c r="H2351" s="4">
        <v>15</v>
      </c>
      <c r="I2351" t="str">
        <f t="shared" si="36"/>
        <v>Macrodon ancylodonBangamary</v>
      </c>
    </row>
    <row r="2352" spans="1:9" x14ac:dyDescent="0.35">
      <c r="A2352">
        <v>34</v>
      </c>
      <c r="B2352">
        <v>2018</v>
      </c>
      <c r="C2352">
        <v>3</v>
      </c>
      <c r="D2352" t="s">
        <v>176</v>
      </c>
      <c r="E2352" t="s">
        <v>349</v>
      </c>
      <c r="F2352" t="s">
        <v>40</v>
      </c>
      <c r="G2352" t="s">
        <v>35</v>
      </c>
      <c r="H2352" s="4">
        <v>14</v>
      </c>
      <c r="I2352" t="str">
        <f t="shared" si="36"/>
        <v>Macrodon ancylodonBangamary</v>
      </c>
    </row>
    <row r="2353" spans="1:9" x14ac:dyDescent="0.35">
      <c r="A2353">
        <v>34</v>
      </c>
      <c r="B2353">
        <v>2018</v>
      </c>
      <c r="C2353">
        <v>3</v>
      </c>
      <c r="D2353" t="s">
        <v>176</v>
      </c>
      <c r="E2353" t="s">
        <v>349</v>
      </c>
      <c r="F2353" t="s">
        <v>40</v>
      </c>
      <c r="G2353" t="s">
        <v>35</v>
      </c>
      <c r="H2353" s="4">
        <v>14</v>
      </c>
      <c r="I2353" t="str">
        <f t="shared" si="36"/>
        <v>Macrodon ancylodonBangamary</v>
      </c>
    </row>
    <row r="2354" spans="1:9" x14ac:dyDescent="0.35">
      <c r="A2354">
        <v>34</v>
      </c>
      <c r="B2354">
        <v>2018</v>
      </c>
      <c r="C2354">
        <v>3</v>
      </c>
      <c r="D2354" t="s">
        <v>176</v>
      </c>
      <c r="E2354" t="s">
        <v>349</v>
      </c>
      <c r="F2354" t="s">
        <v>40</v>
      </c>
      <c r="G2354" t="s">
        <v>35</v>
      </c>
      <c r="H2354" s="4">
        <v>6</v>
      </c>
      <c r="I2354" t="str">
        <f t="shared" si="36"/>
        <v>Macrodon ancylodonBangamary</v>
      </c>
    </row>
    <row r="2355" spans="1:9" x14ac:dyDescent="0.35">
      <c r="A2355">
        <v>34</v>
      </c>
      <c r="B2355">
        <v>2018</v>
      </c>
      <c r="C2355">
        <v>3</v>
      </c>
      <c r="D2355" t="s">
        <v>176</v>
      </c>
      <c r="E2355" t="s">
        <v>349</v>
      </c>
      <c r="F2355" t="s">
        <v>58</v>
      </c>
      <c r="G2355" t="s">
        <v>59</v>
      </c>
      <c r="H2355" s="4">
        <v>13</v>
      </c>
      <c r="I2355" t="str">
        <f t="shared" si="36"/>
        <v>Stellifer rastriferRockhead</v>
      </c>
    </row>
    <row r="2356" spans="1:9" x14ac:dyDescent="0.35">
      <c r="A2356">
        <v>34</v>
      </c>
      <c r="B2356">
        <v>2018</v>
      </c>
      <c r="C2356">
        <v>3</v>
      </c>
      <c r="D2356" t="s">
        <v>176</v>
      </c>
      <c r="E2356" t="s">
        <v>349</v>
      </c>
      <c r="F2356" t="s">
        <v>58</v>
      </c>
      <c r="G2356" t="s">
        <v>59</v>
      </c>
      <c r="H2356" s="4">
        <v>10</v>
      </c>
      <c r="I2356" t="str">
        <f t="shared" si="36"/>
        <v>Stellifer rastriferRockhead</v>
      </c>
    </row>
    <row r="2357" spans="1:9" x14ac:dyDescent="0.35">
      <c r="A2357">
        <v>34</v>
      </c>
      <c r="B2357">
        <v>2018</v>
      </c>
      <c r="C2357">
        <v>3</v>
      </c>
      <c r="D2357" t="s">
        <v>176</v>
      </c>
      <c r="E2357" t="s">
        <v>349</v>
      </c>
      <c r="F2357" t="s">
        <v>58</v>
      </c>
      <c r="G2357" t="s">
        <v>59</v>
      </c>
      <c r="H2357" s="4">
        <v>12</v>
      </c>
      <c r="I2357" t="str">
        <f t="shared" si="36"/>
        <v>Stellifer rastriferRockhead</v>
      </c>
    </row>
    <row r="2358" spans="1:9" x14ac:dyDescent="0.35">
      <c r="A2358">
        <v>34</v>
      </c>
      <c r="B2358">
        <v>2018</v>
      </c>
      <c r="C2358">
        <v>3</v>
      </c>
      <c r="D2358" t="s">
        <v>176</v>
      </c>
      <c r="E2358" t="s">
        <v>349</v>
      </c>
      <c r="F2358" t="s">
        <v>58</v>
      </c>
      <c r="G2358" t="s">
        <v>59</v>
      </c>
      <c r="H2358" s="4">
        <v>15</v>
      </c>
      <c r="I2358" t="str">
        <f t="shared" si="36"/>
        <v>Stellifer rastriferRockhead</v>
      </c>
    </row>
    <row r="2359" spans="1:9" x14ac:dyDescent="0.35">
      <c r="A2359">
        <v>34</v>
      </c>
      <c r="B2359">
        <v>2018</v>
      </c>
      <c r="C2359">
        <v>3</v>
      </c>
      <c r="D2359" t="s">
        <v>176</v>
      </c>
      <c r="E2359" t="s">
        <v>349</v>
      </c>
      <c r="F2359" t="s">
        <v>58</v>
      </c>
      <c r="G2359" t="s">
        <v>59</v>
      </c>
      <c r="H2359" s="4">
        <v>15</v>
      </c>
      <c r="I2359" t="str">
        <f t="shared" si="36"/>
        <v>Stellifer rastriferRockhead</v>
      </c>
    </row>
    <row r="2360" spans="1:9" x14ac:dyDescent="0.35">
      <c r="A2360">
        <v>34</v>
      </c>
      <c r="B2360">
        <v>2018</v>
      </c>
      <c r="C2360">
        <v>3</v>
      </c>
      <c r="D2360" t="s">
        <v>176</v>
      </c>
      <c r="E2360" t="s">
        <v>349</v>
      </c>
      <c r="F2360" t="s">
        <v>58</v>
      </c>
      <c r="G2360" t="s">
        <v>59</v>
      </c>
      <c r="H2360" s="4">
        <v>10</v>
      </c>
      <c r="I2360" t="str">
        <f t="shared" si="36"/>
        <v>Stellifer rastriferRockhead</v>
      </c>
    </row>
    <row r="2361" spans="1:9" x14ac:dyDescent="0.35">
      <c r="A2361">
        <v>34</v>
      </c>
      <c r="B2361">
        <v>2018</v>
      </c>
      <c r="C2361">
        <v>3</v>
      </c>
      <c r="D2361" t="s">
        <v>176</v>
      </c>
      <c r="E2361" t="s">
        <v>349</v>
      </c>
      <c r="F2361" t="s">
        <v>58</v>
      </c>
      <c r="G2361" t="s">
        <v>59</v>
      </c>
      <c r="H2361" s="4">
        <v>10</v>
      </c>
      <c r="I2361" t="str">
        <f t="shared" si="36"/>
        <v>Stellifer rastriferRockhead</v>
      </c>
    </row>
    <row r="2362" spans="1:9" x14ac:dyDescent="0.35">
      <c r="A2362">
        <v>34</v>
      </c>
      <c r="B2362">
        <v>2018</v>
      </c>
      <c r="C2362">
        <v>3</v>
      </c>
      <c r="D2362" t="s">
        <v>176</v>
      </c>
      <c r="E2362" t="s">
        <v>349</v>
      </c>
      <c r="F2362" t="s">
        <v>58</v>
      </c>
      <c r="G2362" t="s">
        <v>59</v>
      </c>
      <c r="H2362" s="4">
        <v>10</v>
      </c>
      <c r="I2362" t="str">
        <f t="shared" si="36"/>
        <v>Stellifer rastriferRockhead</v>
      </c>
    </row>
    <row r="2363" spans="1:9" x14ac:dyDescent="0.35">
      <c r="A2363">
        <v>34</v>
      </c>
      <c r="B2363">
        <v>2018</v>
      </c>
      <c r="C2363">
        <v>3</v>
      </c>
      <c r="D2363" t="s">
        <v>176</v>
      </c>
      <c r="E2363" t="s">
        <v>349</v>
      </c>
      <c r="F2363" t="s">
        <v>58</v>
      </c>
      <c r="G2363" t="s">
        <v>59</v>
      </c>
      <c r="H2363" s="4">
        <v>8</v>
      </c>
      <c r="I2363" t="str">
        <f t="shared" si="36"/>
        <v>Stellifer rastriferRockhead</v>
      </c>
    </row>
    <row r="2364" spans="1:9" x14ac:dyDescent="0.35">
      <c r="A2364">
        <v>34</v>
      </c>
      <c r="B2364">
        <v>2018</v>
      </c>
      <c r="C2364">
        <v>3</v>
      </c>
      <c r="D2364" t="s">
        <v>176</v>
      </c>
      <c r="E2364" t="s">
        <v>349</v>
      </c>
      <c r="F2364" t="s">
        <v>58</v>
      </c>
      <c r="G2364" t="s">
        <v>59</v>
      </c>
      <c r="H2364" s="4">
        <v>15</v>
      </c>
      <c r="I2364" t="str">
        <f t="shared" si="36"/>
        <v>Stellifer rastriferRockhead</v>
      </c>
    </row>
    <row r="2365" spans="1:9" x14ac:dyDescent="0.35">
      <c r="A2365">
        <v>34</v>
      </c>
      <c r="B2365">
        <v>2018</v>
      </c>
      <c r="C2365">
        <v>3</v>
      </c>
      <c r="D2365" t="s">
        <v>176</v>
      </c>
      <c r="E2365" t="s">
        <v>349</v>
      </c>
      <c r="F2365" t="s">
        <v>58</v>
      </c>
      <c r="G2365" t="s">
        <v>59</v>
      </c>
      <c r="H2365" s="4">
        <v>14</v>
      </c>
      <c r="I2365" t="str">
        <f t="shared" si="36"/>
        <v>Stellifer rastriferRockhead</v>
      </c>
    </row>
    <row r="2366" spans="1:9" x14ac:dyDescent="0.35">
      <c r="A2366">
        <v>34</v>
      </c>
      <c r="B2366">
        <v>2018</v>
      </c>
      <c r="C2366">
        <v>3</v>
      </c>
      <c r="D2366" t="s">
        <v>176</v>
      </c>
      <c r="E2366" t="s">
        <v>349</v>
      </c>
      <c r="F2366" t="s">
        <v>58</v>
      </c>
      <c r="G2366" t="s">
        <v>59</v>
      </c>
      <c r="H2366" s="4">
        <v>13</v>
      </c>
      <c r="I2366" t="str">
        <f t="shared" si="36"/>
        <v>Stellifer rastriferRockhead</v>
      </c>
    </row>
    <row r="2367" spans="1:9" x14ac:dyDescent="0.35">
      <c r="A2367">
        <v>34</v>
      </c>
      <c r="B2367">
        <v>2018</v>
      </c>
      <c r="C2367">
        <v>3</v>
      </c>
      <c r="D2367" t="s">
        <v>176</v>
      </c>
      <c r="E2367" t="s">
        <v>349</v>
      </c>
      <c r="F2367" t="s">
        <v>58</v>
      </c>
      <c r="G2367" t="s">
        <v>59</v>
      </c>
      <c r="H2367" s="4">
        <v>12</v>
      </c>
      <c r="I2367" t="str">
        <f t="shared" si="36"/>
        <v>Stellifer rastriferRockhead</v>
      </c>
    </row>
    <row r="2368" spans="1:9" x14ac:dyDescent="0.35">
      <c r="A2368">
        <v>34</v>
      </c>
      <c r="B2368">
        <v>2018</v>
      </c>
      <c r="C2368">
        <v>3</v>
      </c>
      <c r="D2368" t="s">
        <v>176</v>
      </c>
      <c r="E2368" t="s">
        <v>349</v>
      </c>
      <c r="F2368" t="s">
        <v>58</v>
      </c>
      <c r="G2368" t="s">
        <v>59</v>
      </c>
      <c r="H2368" s="4">
        <v>15</v>
      </c>
      <c r="I2368" t="str">
        <f t="shared" si="36"/>
        <v>Stellifer rastriferRockhead</v>
      </c>
    </row>
    <row r="2369" spans="1:9" x14ac:dyDescent="0.35">
      <c r="A2369">
        <v>34</v>
      </c>
      <c r="B2369">
        <v>2018</v>
      </c>
      <c r="C2369">
        <v>3</v>
      </c>
      <c r="D2369" t="s">
        <v>176</v>
      </c>
      <c r="E2369" t="s">
        <v>349</v>
      </c>
      <c r="F2369" t="s">
        <v>58</v>
      </c>
      <c r="G2369" t="s">
        <v>59</v>
      </c>
      <c r="H2369" s="4">
        <v>14</v>
      </c>
      <c r="I2369" t="str">
        <f t="shared" si="36"/>
        <v>Stellifer rastriferRockhead</v>
      </c>
    </row>
    <row r="2370" spans="1:9" x14ac:dyDescent="0.35">
      <c r="A2370">
        <v>34</v>
      </c>
      <c r="B2370">
        <v>2018</v>
      </c>
      <c r="C2370">
        <v>3</v>
      </c>
      <c r="D2370" t="s">
        <v>176</v>
      </c>
      <c r="E2370" t="s">
        <v>349</v>
      </c>
      <c r="F2370" t="s">
        <v>58</v>
      </c>
      <c r="G2370" t="s">
        <v>59</v>
      </c>
      <c r="H2370" s="4">
        <v>13</v>
      </c>
      <c r="I2370" t="str">
        <f t="shared" ref="I2370:I2433" si="37">CONCATENATE(F2370,G2370)</f>
        <v>Stellifer rastriferRockhead</v>
      </c>
    </row>
    <row r="2371" spans="1:9" x14ac:dyDescent="0.35">
      <c r="A2371">
        <v>34</v>
      </c>
      <c r="B2371">
        <v>2018</v>
      </c>
      <c r="C2371">
        <v>3</v>
      </c>
      <c r="D2371" t="s">
        <v>176</v>
      </c>
      <c r="E2371" t="s">
        <v>349</v>
      </c>
      <c r="F2371" t="s">
        <v>58</v>
      </c>
      <c r="G2371" t="s">
        <v>59</v>
      </c>
      <c r="H2371" s="4">
        <v>13</v>
      </c>
      <c r="I2371" t="str">
        <f t="shared" si="37"/>
        <v>Stellifer rastriferRockhead</v>
      </c>
    </row>
    <row r="2372" spans="1:9" x14ac:dyDescent="0.35">
      <c r="A2372">
        <v>34</v>
      </c>
      <c r="B2372">
        <v>2018</v>
      </c>
      <c r="C2372">
        <v>3</v>
      </c>
      <c r="D2372" t="s">
        <v>176</v>
      </c>
      <c r="E2372" t="s">
        <v>349</v>
      </c>
      <c r="F2372" t="s">
        <v>58</v>
      </c>
      <c r="G2372" t="s">
        <v>59</v>
      </c>
      <c r="H2372" s="4">
        <v>10</v>
      </c>
      <c r="I2372" t="str">
        <f t="shared" si="37"/>
        <v>Stellifer rastriferRockhead</v>
      </c>
    </row>
    <row r="2373" spans="1:9" x14ac:dyDescent="0.35">
      <c r="A2373">
        <v>34</v>
      </c>
      <c r="B2373">
        <v>2018</v>
      </c>
      <c r="C2373">
        <v>3</v>
      </c>
      <c r="D2373" t="s">
        <v>176</v>
      </c>
      <c r="E2373" t="s">
        <v>349</v>
      </c>
      <c r="F2373" t="s">
        <v>58</v>
      </c>
      <c r="G2373" t="s">
        <v>59</v>
      </c>
      <c r="H2373" s="4">
        <v>11</v>
      </c>
      <c r="I2373" t="str">
        <f t="shared" si="37"/>
        <v>Stellifer rastriferRockhead</v>
      </c>
    </row>
    <row r="2374" spans="1:9" x14ac:dyDescent="0.35">
      <c r="A2374">
        <v>34</v>
      </c>
      <c r="B2374">
        <v>2018</v>
      </c>
      <c r="C2374">
        <v>3</v>
      </c>
      <c r="D2374" t="s">
        <v>176</v>
      </c>
      <c r="E2374" t="s">
        <v>349</v>
      </c>
      <c r="F2374" t="s">
        <v>58</v>
      </c>
      <c r="G2374" t="s">
        <v>59</v>
      </c>
      <c r="H2374" s="4">
        <v>10</v>
      </c>
      <c r="I2374" t="str">
        <f t="shared" si="37"/>
        <v>Stellifer rastriferRockhead</v>
      </c>
    </row>
    <row r="2375" spans="1:9" x14ac:dyDescent="0.35">
      <c r="A2375">
        <v>34</v>
      </c>
      <c r="B2375">
        <v>2018</v>
      </c>
      <c r="C2375">
        <v>3</v>
      </c>
      <c r="D2375" t="s">
        <v>176</v>
      </c>
      <c r="E2375" t="s">
        <v>349</v>
      </c>
      <c r="F2375" t="s">
        <v>58</v>
      </c>
      <c r="G2375" t="s">
        <v>59</v>
      </c>
      <c r="H2375" s="4">
        <v>9</v>
      </c>
      <c r="I2375" t="str">
        <f t="shared" si="37"/>
        <v>Stellifer rastriferRockhead</v>
      </c>
    </row>
    <row r="2376" spans="1:9" x14ac:dyDescent="0.35">
      <c r="A2376">
        <v>34</v>
      </c>
      <c r="B2376">
        <v>2018</v>
      </c>
      <c r="C2376">
        <v>3</v>
      </c>
      <c r="D2376" t="s">
        <v>176</v>
      </c>
      <c r="E2376" t="s">
        <v>349</v>
      </c>
      <c r="F2376" t="s">
        <v>58</v>
      </c>
      <c r="G2376" t="s">
        <v>59</v>
      </c>
      <c r="H2376" s="4">
        <v>11</v>
      </c>
      <c r="I2376" t="str">
        <f t="shared" si="37"/>
        <v>Stellifer rastriferRockhead</v>
      </c>
    </row>
    <row r="2377" spans="1:9" x14ac:dyDescent="0.35">
      <c r="A2377">
        <v>34</v>
      </c>
      <c r="B2377">
        <v>2018</v>
      </c>
      <c r="C2377">
        <v>3</v>
      </c>
      <c r="D2377" t="s">
        <v>176</v>
      </c>
      <c r="E2377" t="s">
        <v>349</v>
      </c>
      <c r="F2377" t="s">
        <v>58</v>
      </c>
      <c r="G2377" t="s">
        <v>59</v>
      </c>
      <c r="H2377" s="4">
        <v>13</v>
      </c>
      <c r="I2377" t="str">
        <f t="shared" si="37"/>
        <v>Stellifer rastriferRockhead</v>
      </c>
    </row>
    <row r="2378" spans="1:9" x14ac:dyDescent="0.35">
      <c r="A2378">
        <v>34</v>
      </c>
      <c r="B2378">
        <v>2018</v>
      </c>
      <c r="C2378">
        <v>3</v>
      </c>
      <c r="D2378" t="s">
        <v>176</v>
      </c>
      <c r="E2378" t="s">
        <v>349</v>
      </c>
      <c r="F2378" t="s">
        <v>58</v>
      </c>
      <c r="G2378" t="s">
        <v>59</v>
      </c>
      <c r="H2378" s="4">
        <v>14</v>
      </c>
      <c r="I2378" t="str">
        <f t="shared" si="37"/>
        <v>Stellifer rastriferRockhead</v>
      </c>
    </row>
    <row r="2379" spans="1:9" x14ac:dyDescent="0.35">
      <c r="A2379">
        <v>34</v>
      </c>
      <c r="B2379">
        <v>2018</v>
      </c>
      <c r="C2379">
        <v>3</v>
      </c>
      <c r="D2379" t="s">
        <v>176</v>
      </c>
      <c r="E2379" t="s">
        <v>349</v>
      </c>
      <c r="F2379" t="s">
        <v>58</v>
      </c>
      <c r="G2379" t="s">
        <v>59</v>
      </c>
      <c r="H2379" s="4">
        <v>12</v>
      </c>
      <c r="I2379" t="str">
        <f t="shared" si="37"/>
        <v>Stellifer rastriferRockhead</v>
      </c>
    </row>
    <row r="2380" spans="1:9" x14ac:dyDescent="0.35">
      <c r="A2380">
        <v>34</v>
      </c>
      <c r="B2380">
        <v>2018</v>
      </c>
      <c r="C2380">
        <v>3</v>
      </c>
      <c r="D2380" t="s">
        <v>176</v>
      </c>
      <c r="E2380" t="s">
        <v>349</v>
      </c>
      <c r="F2380" t="s">
        <v>58</v>
      </c>
      <c r="G2380" t="s">
        <v>59</v>
      </c>
      <c r="H2380" s="4">
        <v>9</v>
      </c>
      <c r="I2380" t="str">
        <f t="shared" si="37"/>
        <v>Stellifer rastriferRockhead</v>
      </c>
    </row>
    <row r="2381" spans="1:9" x14ac:dyDescent="0.35">
      <c r="A2381">
        <v>34</v>
      </c>
      <c r="B2381">
        <v>2018</v>
      </c>
      <c r="C2381">
        <v>3</v>
      </c>
      <c r="D2381" t="s">
        <v>176</v>
      </c>
      <c r="E2381" t="s">
        <v>349</v>
      </c>
      <c r="F2381" t="s">
        <v>58</v>
      </c>
      <c r="G2381" t="s">
        <v>59</v>
      </c>
      <c r="H2381" s="4">
        <v>7</v>
      </c>
      <c r="I2381" t="str">
        <f t="shared" si="37"/>
        <v>Stellifer rastriferRockhead</v>
      </c>
    </row>
    <row r="2382" spans="1:9" x14ac:dyDescent="0.35">
      <c r="A2382">
        <v>34</v>
      </c>
      <c r="B2382">
        <v>2018</v>
      </c>
      <c r="C2382">
        <v>3</v>
      </c>
      <c r="D2382" t="s">
        <v>176</v>
      </c>
      <c r="E2382" t="s">
        <v>349</v>
      </c>
      <c r="F2382" t="s">
        <v>58</v>
      </c>
      <c r="G2382" t="s">
        <v>59</v>
      </c>
      <c r="H2382" s="4">
        <v>9</v>
      </c>
      <c r="I2382" t="str">
        <f t="shared" si="37"/>
        <v>Stellifer rastriferRockhead</v>
      </c>
    </row>
    <row r="2383" spans="1:9" x14ac:dyDescent="0.35">
      <c r="A2383">
        <v>34</v>
      </c>
      <c r="B2383">
        <v>2018</v>
      </c>
      <c r="C2383">
        <v>3</v>
      </c>
      <c r="D2383" t="s">
        <v>176</v>
      </c>
      <c r="E2383" t="s">
        <v>349</v>
      </c>
      <c r="F2383" t="s">
        <v>58</v>
      </c>
      <c r="G2383" t="s">
        <v>59</v>
      </c>
      <c r="H2383" s="4">
        <v>9</v>
      </c>
      <c r="I2383" t="str">
        <f t="shared" si="37"/>
        <v>Stellifer rastriferRockhead</v>
      </c>
    </row>
    <row r="2384" spans="1:9" x14ac:dyDescent="0.35">
      <c r="A2384">
        <v>34</v>
      </c>
      <c r="B2384">
        <v>2018</v>
      </c>
      <c r="C2384">
        <v>3</v>
      </c>
      <c r="D2384" t="s">
        <v>176</v>
      </c>
      <c r="E2384" t="s">
        <v>349</v>
      </c>
      <c r="F2384" t="s">
        <v>58</v>
      </c>
      <c r="G2384" t="s">
        <v>59</v>
      </c>
      <c r="H2384" s="4">
        <v>7</v>
      </c>
      <c r="I2384" t="str">
        <f t="shared" si="37"/>
        <v>Stellifer rastriferRockhead</v>
      </c>
    </row>
    <row r="2385" spans="1:9" x14ac:dyDescent="0.35">
      <c r="A2385">
        <v>34</v>
      </c>
      <c r="B2385">
        <v>2018</v>
      </c>
      <c r="C2385">
        <v>3</v>
      </c>
      <c r="D2385" t="s">
        <v>176</v>
      </c>
      <c r="E2385" t="s">
        <v>349</v>
      </c>
      <c r="F2385" t="s">
        <v>6</v>
      </c>
      <c r="G2385" t="s">
        <v>37</v>
      </c>
      <c r="H2385" s="4">
        <v>12</v>
      </c>
      <c r="I2385" t="str">
        <f t="shared" si="37"/>
        <v>Symphurus plagusiaTongue fish</v>
      </c>
    </row>
    <row r="2386" spans="1:9" x14ac:dyDescent="0.35">
      <c r="A2386">
        <v>34</v>
      </c>
      <c r="B2386">
        <v>2018</v>
      </c>
      <c r="C2386">
        <v>3</v>
      </c>
      <c r="D2386" t="s">
        <v>176</v>
      </c>
      <c r="E2386" t="s">
        <v>349</v>
      </c>
      <c r="F2386" t="s">
        <v>6</v>
      </c>
      <c r="G2386" t="s">
        <v>37</v>
      </c>
      <c r="H2386" s="4">
        <v>14</v>
      </c>
      <c r="I2386" t="str">
        <f t="shared" si="37"/>
        <v>Symphurus plagusiaTongue fish</v>
      </c>
    </row>
    <row r="2387" spans="1:9" x14ac:dyDescent="0.35">
      <c r="A2387">
        <v>34</v>
      </c>
      <c r="B2387">
        <v>2018</v>
      </c>
      <c r="C2387">
        <v>3</v>
      </c>
      <c r="D2387" t="s">
        <v>176</v>
      </c>
      <c r="E2387" t="s">
        <v>349</v>
      </c>
      <c r="F2387" t="s">
        <v>6</v>
      </c>
      <c r="G2387" t="s">
        <v>37</v>
      </c>
      <c r="H2387" s="4">
        <v>11</v>
      </c>
      <c r="I2387" t="str">
        <f t="shared" si="37"/>
        <v>Symphurus plagusiaTongue fish</v>
      </c>
    </row>
    <row r="2388" spans="1:9" x14ac:dyDescent="0.35">
      <c r="A2388">
        <v>34</v>
      </c>
      <c r="B2388">
        <v>2018</v>
      </c>
      <c r="C2388">
        <v>3</v>
      </c>
      <c r="D2388" t="s">
        <v>176</v>
      </c>
      <c r="E2388" t="s">
        <v>349</v>
      </c>
      <c r="F2388" t="s">
        <v>6</v>
      </c>
      <c r="G2388" t="s">
        <v>37</v>
      </c>
      <c r="H2388" s="4">
        <v>12</v>
      </c>
      <c r="I2388" t="str">
        <f t="shared" si="37"/>
        <v>Symphurus plagusiaTongue fish</v>
      </c>
    </row>
    <row r="2389" spans="1:9" x14ac:dyDescent="0.35">
      <c r="A2389">
        <v>34</v>
      </c>
      <c r="B2389">
        <v>2018</v>
      </c>
      <c r="C2389">
        <v>3</v>
      </c>
      <c r="D2389" t="s">
        <v>176</v>
      </c>
      <c r="E2389" t="s">
        <v>349</v>
      </c>
      <c r="F2389" t="s">
        <v>6</v>
      </c>
      <c r="G2389" t="s">
        <v>37</v>
      </c>
      <c r="H2389" s="4">
        <v>10</v>
      </c>
      <c r="I2389" t="str">
        <f t="shared" si="37"/>
        <v>Symphurus plagusiaTongue fish</v>
      </c>
    </row>
    <row r="2390" spans="1:9" x14ac:dyDescent="0.35">
      <c r="A2390">
        <v>34</v>
      </c>
      <c r="B2390">
        <v>2018</v>
      </c>
      <c r="C2390">
        <v>3</v>
      </c>
      <c r="D2390" t="s">
        <v>176</v>
      </c>
      <c r="E2390" t="s">
        <v>349</v>
      </c>
      <c r="F2390" t="s">
        <v>6</v>
      </c>
      <c r="G2390" t="s">
        <v>37</v>
      </c>
      <c r="H2390" s="4">
        <v>10</v>
      </c>
      <c r="I2390" t="str">
        <f t="shared" si="37"/>
        <v>Symphurus plagusiaTongue fish</v>
      </c>
    </row>
    <row r="2391" spans="1:9" x14ac:dyDescent="0.35">
      <c r="A2391">
        <v>34</v>
      </c>
      <c r="B2391">
        <v>2018</v>
      </c>
      <c r="C2391">
        <v>3</v>
      </c>
      <c r="D2391" t="s">
        <v>176</v>
      </c>
      <c r="E2391" t="s">
        <v>349</v>
      </c>
      <c r="F2391" t="s">
        <v>6</v>
      </c>
      <c r="G2391" t="s">
        <v>37</v>
      </c>
      <c r="H2391" s="4">
        <v>10</v>
      </c>
      <c r="I2391" t="str">
        <f t="shared" si="37"/>
        <v>Symphurus plagusiaTongue fish</v>
      </c>
    </row>
    <row r="2392" spans="1:9" x14ac:dyDescent="0.35">
      <c r="A2392">
        <v>34</v>
      </c>
      <c r="B2392">
        <v>2018</v>
      </c>
      <c r="C2392">
        <v>3</v>
      </c>
      <c r="D2392" t="s">
        <v>176</v>
      </c>
      <c r="E2392" t="s">
        <v>349</v>
      </c>
      <c r="F2392" t="s">
        <v>6</v>
      </c>
      <c r="G2392" t="s">
        <v>37</v>
      </c>
      <c r="H2392" s="4">
        <v>11</v>
      </c>
      <c r="I2392" t="str">
        <f t="shared" si="37"/>
        <v>Symphurus plagusiaTongue fish</v>
      </c>
    </row>
    <row r="2393" spans="1:9" x14ac:dyDescent="0.35">
      <c r="A2393">
        <v>34</v>
      </c>
      <c r="B2393">
        <v>2018</v>
      </c>
      <c r="C2393">
        <v>3</v>
      </c>
      <c r="D2393" t="s">
        <v>176</v>
      </c>
      <c r="E2393" t="s">
        <v>349</v>
      </c>
      <c r="F2393" t="s">
        <v>6</v>
      </c>
      <c r="G2393" t="s">
        <v>37</v>
      </c>
      <c r="H2393" s="4">
        <v>9</v>
      </c>
      <c r="I2393" t="str">
        <f t="shared" si="37"/>
        <v>Symphurus plagusiaTongue fish</v>
      </c>
    </row>
    <row r="2394" spans="1:9" x14ac:dyDescent="0.35">
      <c r="A2394">
        <v>34</v>
      </c>
      <c r="B2394">
        <v>2018</v>
      </c>
      <c r="C2394">
        <v>3</v>
      </c>
      <c r="D2394" t="s">
        <v>176</v>
      </c>
      <c r="E2394" t="s">
        <v>349</v>
      </c>
      <c r="F2394" t="s">
        <v>6</v>
      </c>
      <c r="G2394" t="s">
        <v>37</v>
      </c>
      <c r="H2394" s="4">
        <v>11</v>
      </c>
      <c r="I2394" t="str">
        <f t="shared" si="37"/>
        <v>Symphurus plagusiaTongue fish</v>
      </c>
    </row>
    <row r="2395" spans="1:9" x14ac:dyDescent="0.35">
      <c r="A2395">
        <v>34</v>
      </c>
      <c r="B2395">
        <v>2018</v>
      </c>
      <c r="C2395">
        <v>3</v>
      </c>
      <c r="D2395" t="s">
        <v>176</v>
      </c>
      <c r="E2395" t="s">
        <v>349</v>
      </c>
      <c r="F2395" t="s">
        <v>6</v>
      </c>
      <c r="G2395" t="s">
        <v>37</v>
      </c>
      <c r="H2395" s="4">
        <v>11</v>
      </c>
      <c r="I2395" t="str">
        <f t="shared" si="37"/>
        <v>Symphurus plagusiaTongue fish</v>
      </c>
    </row>
    <row r="2396" spans="1:9" x14ac:dyDescent="0.35">
      <c r="A2396">
        <v>34</v>
      </c>
      <c r="B2396">
        <v>2018</v>
      </c>
      <c r="C2396">
        <v>3</v>
      </c>
      <c r="D2396" t="s">
        <v>176</v>
      </c>
      <c r="E2396" t="s">
        <v>349</v>
      </c>
      <c r="F2396" t="s">
        <v>6</v>
      </c>
      <c r="G2396" t="s">
        <v>37</v>
      </c>
      <c r="H2396" s="4">
        <v>10</v>
      </c>
      <c r="I2396" t="str">
        <f t="shared" si="37"/>
        <v>Symphurus plagusiaTongue fish</v>
      </c>
    </row>
    <row r="2397" spans="1:9" x14ac:dyDescent="0.35">
      <c r="A2397">
        <v>34</v>
      </c>
      <c r="B2397">
        <v>2018</v>
      </c>
      <c r="C2397">
        <v>3</v>
      </c>
      <c r="D2397" t="s">
        <v>176</v>
      </c>
      <c r="E2397" t="s">
        <v>349</v>
      </c>
      <c r="F2397" t="s">
        <v>6</v>
      </c>
      <c r="G2397" t="s">
        <v>37</v>
      </c>
      <c r="H2397" s="4">
        <v>11</v>
      </c>
      <c r="I2397" t="str">
        <f t="shared" si="37"/>
        <v>Symphurus plagusiaTongue fish</v>
      </c>
    </row>
    <row r="2398" spans="1:9" x14ac:dyDescent="0.35">
      <c r="A2398">
        <v>34</v>
      </c>
      <c r="B2398">
        <v>2018</v>
      </c>
      <c r="C2398">
        <v>3</v>
      </c>
      <c r="D2398" t="s">
        <v>176</v>
      </c>
      <c r="E2398" t="s">
        <v>349</v>
      </c>
      <c r="F2398" t="s">
        <v>6</v>
      </c>
      <c r="G2398" t="s">
        <v>37</v>
      </c>
      <c r="H2398" s="4">
        <v>12</v>
      </c>
      <c r="I2398" t="str">
        <f t="shared" si="37"/>
        <v>Symphurus plagusiaTongue fish</v>
      </c>
    </row>
    <row r="2399" spans="1:9" x14ac:dyDescent="0.35">
      <c r="A2399">
        <v>34</v>
      </c>
      <c r="B2399">
        <v>2018</v>
      </c>
      <c r="C2399">
        <v>3</v>
      </c>
      <c r="D2399" t="s">
        <v>176</v>
      </c>
      <c r="E2399" t="s">
        <v>349</v>
      </c>
      <c r="F2399" t="s">
        <v>6</v>
      </c>
      <c r="G2399" t="s">
        <v>37</v>
      </c>
      <c r="H2399" s="4">
        <v>12</v>
      </c>
      <c r="I2399" t="str">
        <f t="shared" si="37"/>
        <v>Symphurus plagusiaTongue fish</v>
      </c>
    </row>
    <row r="2400" spans="1:9" x14ac:dyDescent="0.35">
      <c r="A2400">
        <v>34</v>
      </c>
      <c r="B2400">
        <v>2018</v>
      </c>
      <c r="C2400">
        <v>3</v>
      </c>
      <c r="D2400" t="s">
        <v>176</v>
      </c>
      <c r="E2400" t="s">
        <v>349</v>
      </c>
      <c r="F2400" t="s">
        <v>6</v>
      </c>
      <c r="G2400" t="s">
        <v>37</v>
      </c>
      <c r="H2400" s="4">
        <v>12</v>
      </c>
      <c r="I2400" t="str">
        <f t="shared" si="37"/>
        <v>Symphurus plagusiaTongue fish</v>
      </c>
    </row>
    <row r="2401" spans="1:9" x14ac:dyDescent="0.35">
      <c r="A2401">
        <v>34</v>
      </c>
      <c r="B2401">
        <v>2018</v>
      </c>
      <c r="C2401">
        <v>3</v>
      </c>
      <c r="D2401" t="s">
        <v>176</v>
      </c>
      <c r="E2401" t="s">
        <v>349</v>
      </c>
      <c r="F2401" t="s">
        <v>6</v>
      </c>
      <c r="G2401" t="s">
        <v>37</v>
      </c>
      <c r="H2401" s="4">
        <v>12</v>
      </c>
      <c r="I2401" t="str">
        <f t="shared" si="37"/>
        <v>Symphurus plagusiaTongue fish</v>
      </c>
    </row>
    <row r="2402" spans="1:9" x14ac:dyDescent="0.35">
      <c r="A2402">
        <v>34</v>
      </c>
      <c r="B2402">
        <v>2018</v>
      </c>
      <c r="C2402">
        <v>3</v>
      </c>
      <c r="D2402" t="s">
        <v>176</v>
      </c>
      <c r="E2402" t="s">
        <v>349</v>
      </c>
      <c r="F2402" t="s">
        <v>6</v>
      </c>
      <c r="G2402" t="s">
        <v>37</v>
      </c>
      <c r="H2402" s="4">
        <v>9</v>
      </c>
      <c r="I2402" t="str">
        <f t="shared" si="37"/>
        <v>Symphurus plagusiaTongue fish</v>
      </c>
    </row>
    <row r="2403" spans="1:9" x14ac:dyDescent="0.35">
      <c r="A2403">
        <v>34</v>
      </c>
      <c r="B2403">
        <v>2018</v>
      </c>
      <c r="C2403">
        <v>3</v>
      </c>
      <c r="D2403" t="s">
        <v>176</v>
      </c>
      <c r="E2403" t="s">
        <v>349</v>
      </c>
      <c r="F2403" t="s">
        <v>6</v>
      </c>
      <c r="G2403" t="s">
        <v>37</v>
      </c>
      <c r="H2403" s="4">
        <v>11</v>
      </c>
      <c r="I2403" t="str">
        <f t="shared" si="37"/>
        <v>Symphurus plagusiaTongue fish</v>
      </c>
    </row>
    <row r="2404" spans="1:9" x14ac:dyDescent="0.35">
      <c r="A2404">
        <v>34</v>
      </c>
      <c r="B2404">
        <v>2018</v>
      </c>
      <c r="C2404">
        <v>3</v>
      </c>
      <c r="D2404" t="s">
        <v>176</v>
      </c>
      <c r="E2404" t="s">
        <v>349</v>
      </c>
      <c r="F2404" t="s">
        <v>6</v>
      </c>
      <c r="G2404" t="s">
        <v>37</v>
      </c>
      <c r="H2404" s="4">
        <v>11</v>
      </c>
      <c r="I2404" t="str">
        <f t="shared" si="37"/>
        <v>Symphurus plagusiaTongue fish</v>
      </c>
    </row>
    <row r="2405" spans="1:9" x14ac:dyDescent="0.35">
      <c r="A2405">
        <v>34</v>
      </c>
      <c r="B2405">
        <v>2018</v>
      </c>
      <c r="C2405">
        <v>3</v>
      </c>
      <c r="D2405" t="s">
        <v>176</v>
      </c>
      <c r="E2405" t="s">
        <v>349</v>
      </c>
      <c r="F2405" t="s">
        <v>6</v>
      </c>
      <c r="G2405" t="s">
        <v>37</v>
      </c>
      <c r="H2405" s="4">
        <v>13</v>
      </c>
      <c r="I2405" t="str">
        <f t="shared" si="37"/>
        <v>Symphurus plagusiaTongue fish</v>
      </c>
    </row>
    <row r="2406" spans="1:9" x14ac:dyDescent="0.35">
      <c r="A2406">
        <v>34</v>
      </c>
      <c r="B2406">
        <v>2018</v>
      </c>
      <c r="C2406">
        <v>3</v>
      </c>
      <c r="D2406" t="s">
        <v>176</v>
      </c>
      <c r="E2406" t="s">
        <v>349</v>
      </c>
      <c r="F2406" t="s">
        <v>6</v>
      </c>
      <c r="G2406" t="s">
        <v>37</v>
      </c>
      <c r="H2406" s="4">
        <v>13</v>
      </c>
      <c r="I2406" t="str">
        <f t="shared" si="37"/>
        <v>Symphurus plagusiaTongue fish</v>
      </c>
    </row>
    <row r="2407" spans="1:9" x14ac:dyDescent="0.35">
      <c r="A2407">
        <v>34</v>
      </c>
      <c r="B2407">
        <v>2018</v>
      </c>
      <c r="C2407">
        <v>3</v>
      </c>
      <c r="D2407" t="s">
        <v>176</v>
      </c>
      <c r="E2407" t="s">
        <v>349</v>
      </c>
      <c r="F2407" t="s">
        <v>6</v>
      </c>
      <c r="G2407" t="s">
        <v>37</v>
      </c>
      <c r="H2407" s="4">
        <v>10</v>
      </c>
      <c r="I2407" t="str">
        <f t="shared" si="37"/>
        <v>Symphurus plagusiaTongue fish</v>
      </c>
    </row>
    <row r="2408" spans="1:9" x14ac:dyDescent="0.35">
      <c r="A2408">
        <v>34</v>
      </c>
      <c r="B2408">
        <v>2018</v>
      </c>
      <c r="C2408">
        <v>3</v>
      </c>
      <c r="D2408" t="s">
        <v>176</v>
      </c>
      <c r="E2408" t="s">
        <v>349</v>
      </c>
      <c r="F2408" t="s">
        <v>6</v>
      </c>
      <c r="G2408" t="s">
        <v>37</v>
      </c>
      <c r="H2408" s="4">
        <v>13</v>
      </c>
      <c r="I2408" t="str">
        <f t="shared" si="37"/>
        <v>Symphurus plagusiaTongue fish</v>
      </c>
    </row>
    <row r="2409" spans="1:9" x14ac:dyDescent="0.35">
      <c r="A2409">
        <v>34</v>
      </c>
      <c r="B2409">
        <v>2018</v>
      </c>
      <c r="C2409">
        <v>3</v>
      </c>
      <c r="D2409" t="s">
        <v>176</v>
      </c>
      <c r="E2409" t="s">
        <v>349</v>
      </c>
      <c r="F2409" t="s">
        <v>6</v>
      </c>
      <c r="G2409" t="s">
        <v>37</v>
      </c>
      <c r="H2409" s="4">
        <v>9</v>
      </c>
      <c r="I2409" t="str">
        <f t="shared" si="37"/>
        <v>Symphurus plagusiaTongue fish</v>
      </c>
    </row>
    <row r="2410" spans="1:9" x14ac:dyDescent="0.35">
      <c r="A2410">
        <v>34</v>
      </c>
      <c r="B2410">
        <v>2018</v>
      </c>
      <c r="C2410">
        <v>3</v>
      </c>
      <c r="D2410" t="s">
        <v>176</v>
      </c>
      <c r="E2410" t="s">
        <v>349</v>
      </c>
      <c r="F2410" t="s">
        <v>6</v>
      </c>
      <c r="G2410" t="s">
        <v>37</v>
      </c>
      <c r="H2410" s="4">
        <v>10</v>
      </c>
      <c r="I2410" t="str">
        <f t="shared" si="37"/>
        <v>Symphurus plagusiaTongue fish</v>
      </c>
    </row>
    <row r="2411" spans="1:9" x14ac:dyDescent="0.35">
      <c r="A2411">
        <v>34</v>
      </c>
      <c r="B2411">
        <v>2018</v>
      </c>
      <c r="C2411">
        <v>3</v>
      </c>
      <c r="D2411" t="s">
        <v>176</v>
      </c>
      <c r="E2411" t="s">
        <v>349</v>
      </c>
      <c r="F2411" t="s">
        <v>6</v>
      </c>
      <c r="G2411" t="s">
        <v>37</v>
      </c>
      <c r="H2411" s="4">
        <v>7</v>
      </c>
      <c r="I2411" t="str">
        <f t="shared" si="37"/>
        <v>Symphurus plagusiaTongue fish</v>
      </c>
    </row>
    <row r="2412" spans="1:9" x14ac:dyDescent="0.35">
      <c r="A2412">
        <v>34</v>
      </c>
      <c r="B2412">
        <v>2018</v>
      </c>
      <c r="C2412">
        <v>3</v>
      </c>
      <c r="D2412" t="s">
        <v>176</v>
      </c>
      <c r="E2412" t="s">
        <v>349</v>
      </c>
      <c r="F2412" t="s">
        <v>6</v>
      </c>
      <c r="G2412" t="s">
        <v>37</v>
      </c>
      <c r="H2412" s="4">
        <v>9</v>
      </c>
      <c r="I2412" t="str">
        <f t="shared" si="37"/>
        <v>Symphurus plagusiaTongue fish</v>
      </c>
    </row>
    <row r="2413" spans="1:9" x14ac:dyDescent="0.35">
      <c r="A2413">
        <v>34</v>
      </c>
      <c r="B2413">
        <v>2018</v>
      </c>
      <c r="C2413">
        <v>3</v>
      </c>
      <c r="D2413" t="s">
        <v>176</v>
      </c>
      <c r="E2413" t="s">
        <v>349</v>
      </c>
      <c r="F2413" t="s">
        <v>6</v>
      </c>
      <c r="G2413" t="s">
        <v>37</v>
      </c>
      <c r="H2413" s="4">
        <v>9</v>
      </c>
      <c r="I2413" t="str">
        <f t="shared" si="37"/>
        <v>Symphurus plagusiaTongue fish</v>
      </c>
    </row>
    <row r="2414" spans="1:9" x14ac:dyDescent="0.35">
      <c r="A2414">
        <v>34</v>
      </c>
      <c r="B2414">
        <v>2018</v>
      </c>
      <c r="C2414">
        <v>3</v>
      </c>
      <c r="D2414" t="s">
        <v>176</v>
      </c>
      <c r="E2414" t="s">
        <v>349</v>
      </c>
      <c r="F2414" t="s">
        <v>6</v>
      </c>
      <c r="G2414" t="s">
        <v>37</v>
      </c>
      <c r="H2414" s="4">
        <v>8</v>
      </c>
      <c r="I2414" t="str">
        <f t="shared" si="37"/>
        <v>Symphurus plagusiaTongue fish</v>
      </c>
    </row>
    <row r="2415" spans="1:9" x14ac:dyDescent="0.35">
      <c r="A2415">
        <v>34</v>
      </c>
      <c r="B2415">
        <v>2018</v>
      </c>
      <c r="C2415">
        <v>3</v>
      </c>
      <c r="D2415" t="s">
        <v>176</v>
      </c>
      <c r="E2415" t="s">
        <v>349</v>
      </c>
      <c r="F2415" t="s">
        <v>80</v>
      </c>
      <c r="G2415" t="s">
        <v>290</v>
      </c>
      <c r="H2415" s="4">
        <v>9</v>
      </c>
      <c r="I2415" t="str">
        <f t="shared" si="37"/>
        <v>Apionichthys dumeriliLongtail sole</v>
      </c>
    </row>
    <row r="2416" spans="1:9" x14ac:dyDescent="0.35">
      <c r="A2416">
        <v>34</v>
      </c>
      <c r="B2416">
        <v>2018</v>
      </c>
      <c r="C2416">
        <v>3</v>
      </c>
      <c r="D2416" t="s">
        <v>176</v>
      </c>
      <c r="E2416" t="s">
        <v>349</v>
      </c>
      <c r="F2416" t="s">
        <v>80</v>
      </c>
      <c r="G2416" t="s">
        <v>290</v>
      </c>
      <c r="H2416" s="4">
        <v>7</v>
      </c>
      <c r="I2416" t="str">
        <f t="shared" si="37"/>
        <v>Apionichthys dumeriliLongtail sole</v>
      </c>
    </row>
    <row r="2417" spans="1:9" x14ac:dyDescent="0.35">
      <c r="A2417">
        <v>34</v>
      </c>
      <c r="B2417">
        <v>2018</v>
      </c>
      <c r="C2417">
        <v>3</v>
      </c>
      <c r="D2417" t="s">
        <v>176</v>
      </c>
      <c r="E2417" t="s">
        <v>349</v>
      </c>
      <c r="F2417" t="s">
        <v>80</v>
      </c>
      <c r="G2417" t="s">
        <v>290</v>
      </c>
      <c r="H2417" s="4">
        <v>10</v>
      </c>
      <c r="I2417" t="str">
        <f t="shared" si="37"/>
        <v>Apionichthys dumeriliLongtail sole</v>
      </c>
    </row>
    <row r="2418" spans="1:9" x14ac:dyDescent="0.35">
      <c r="A2418">
        <v>34</v>
      </c>
      <c r="B2418">
        <v>2018</v>
      </c>
      <c r="C2418">
        <v>3</v>
      </c>
      <c r="D2418" t="s">
        <v>176</v>
      </c>
      <c r="E2418" t="s">
        <v>349</v>
      </c>
      <c r="F2418" t="s">
        <v>80</v>
      </c>
      <c r="G2418" t="s">
        <v>290</v>
      </c>
      <c r="H2418" s="4">
        <v>9</v>
      </c>
      <c r="I2418" t="str">
        <f t="shared" si="37"/>
        <v>Apionichthys dumeriliLongtail sole</v>
      </c>
    </row>
    <row r="2419" spans="1:9" x14ac:dyDescent="0.35">
      <c r="A2419">
        <v>34</v>
      </c>
      <c r="B2419">
        <v>2018</v>
      </c>
      <c r="C2419">
        <v>3</v>
      </c>
      <c r="D2419" t="s">
        <v>176</v>
      </c>
      <c r="E2419" t="s">
        <v>349</v>
      </c>
      <c r="F2419" t="s">
        <v>80</v>
      </c>
      <c r="G2419" t="s">
        <v>290</v>
      </c>
      <c r="H2419" s="4">
        <v>10</v>
      </c>
      <c r="I2419" t="str">
        <f t="shared" si="37"/>
        <v>Apionichthys dumeriliLongtail sole</v>
      </c>
    </row>
    <row r="2420" spans="1:9" x14ac:dyDescent="0.35">
      <c r="A2420">
        <v>34</v>
      </c>
      <c r="B2420">
        <v>2018</v>
      </c>
      <c r="C2420">
        <v>3</v>
      </c>
      <c r="D2420" t="s">
        <v>176</v>
      </c>
      <c r="E2420" t="s">
        <v>349</v>
      </c>
      <c r="F2420" t="s">
        <v>80</v>
      </c>
      <c r="G2420" t="s">
        <v>290</v>
      </c>
      <c r="H2420" s="4">
        <v>8</v>
      </c>
      <c r="I2420" t="str">
        <f t="shared" si="37"/>
        <v>Apionichthys dumeriliLongtail sole</v>
      </c>
    </row>
    <row r="2421" spans="1:9" x14ac:dyDescent="0.35">
      <c r="A2421">
        <v>34</v>
      </c>
      <c r="B2421">
        <v>2018</v>
      </c>
      <c r="C2421">
        <v>3</v>
      </c>
      <c r="D2421" t="s">
        <v>176</v>
      </c>
      <c r="E2421" t="s">
        <v>349</v>
      </c>
      <c r="F2421" t="s">
        <v>80</v>
      </c>
      <c r="G2421" t="s">
        <v>290</v>
      </c>
      <c r="H2421" s="4">
        <v>9</v>
      </c>
      <c r="I2421" t="str">
        <f t="shared" si="37"/>
        <v>Apionichthys dumeriliLongtail sole</v>
      </c>
    </row>
    <row r="2422" spans="1:9" x14ac:dyDescent="0.35">
      <c r="A2422">
        <v>34</v>
      </c>
      <c r="B2422">
        <v>2018</v>
      </c>
      <c r="C2422">
        <v>3</v>
      </c>
      <c r="D2422" t="s">
        <v>176</v>
      </c>
      <c r="E2422" t="s">
        <v>349</v>
      </c>
      <c r="F2422" t="s">
        <v>80</v>
      </c>
      <c r="G2422" t="s">
        <v>290</v>
      </c>
      <c r="H2422" s="4">
        <v>9</v>
      </c>
      <c r="I2422" t="str">
        <f t="shared" si="37"/>
        <v>Apionichthys dumeriliLongtail sole</v>
      </c>
    </row>
    <row r="2423" spans="1:9" x14ac:dyDescent="0.35">
      <c r="A2423">
        <v>34</v>
      </c>
      <c r="B2423">
        <v>2018</v>
      </c>
      <c r="C2423">
        <v>3</v>
      </c>
      <c r="D2423" t="s">
        <v>176</v>
      </c>
      <c r="E2423" t="s">
        <v>349</v>
      </c>
      <c r="F2423" t="s">
        <v>80</v>
      </c>
      <c r="G2423" t="s">
        <v>290</v>
      </c>
      <c r="H2423" s="4">
        <v>6</v>
      </c>
      <c r="I2423" t="str">
        <f t="shared" si="37"/>
        <v>Apionichthys dumeriliLongtail sole</v>
      </c>
    </row>
    <row r="2424" spans="1:9" x14ac:dyDescent="0.35">
      <c r="A2424">
        <v>34</v>
      </c>
      <c r="B2424">
        <v>2018</v>
      </c>
      <c r="C2424">
        <v>3</v>
      </c>
      <c r="D2424" t="s">
        <v>176</v>
      </c>
      <c r="E2424" t="s">
        <v>349</v>
      </c>
      <c r="F2424" t="s">
        <v>80</v>
      </c>
      <c r="G2424" t="s">
        <v>290</v>
      </c>
      <c r="H2424" s="4">
        <v>10</v>
      </c>
      <c r="I2424" t="str">
        <f t="shared" si="37"/>
        <v>Apionichthys dumeriliLongtail sole</v>
      </c>
    </row>
    <row r="2425" spans="1:9" x14ac:dyDescent="0.35">
      <c r="A2425">
        <v>34</v>
      </c>
      <c r="B2425">
        <v>2018</v>
      </c>
      <c r="C2425">
        <v>3</v>
      </c>
      <c r="D2425" t="s">
        <v>176</v>
      </c>
      <c r="E2425" t="s">
        <v>349</v>
      </c>
      <c r="F2425" t="s">
        <v>80</v>
      </c>
      <c r="G2425" t="s">
        <v>290</v>
      </c>
      <c r="H2425" s="4">
        <v>10</v>
      </c>
      <c r="I2425" t="str">
        <f t="shared" si="37"/>
        <v>Apionichthys dumeriliLongtail sole</v>
      </c>
    </row>
    <row r="2426" spans="1:9" x14ac:dyDescent="0.35">
      <c r="A2426">
        <v>34</v>
      </c>
      <c r="B2426">
        <v>2018</v>
      </c>
      <c r="C2426">
        <v>3</v>
      </c>
      <c r="D2426" t="s">
        <v>176</v>
      </c>
      <c r="E2426" t="s">
        <v>349</v>
      </c>
      <c r="F2426" t="s">
        <v>80</v>
      </c>
      <c r="G2426" t="s">
        <v>290</v>
      </c>
      <c r="H2426" s="4">
        <v>9</v>
      </c>
      <c r="I2426" t="str">
        <f t="shared" si="37"/>
        <v>Apionichthys dumeriliLongtail sole</v>
      </c>
    </row>
    <row r="2427" spans="1:9" x14ac:dyDescent="0.35">
      <c r="A2427">
        <v>34</v>
      </c>
      <c r="B2427">
        <v>2018</v>
      </c>
      <c r="C2427">
        <v>3</v>
      </c>
      <c r="D2427" t="s">
        <v>176</v>
      </c>
      <c r="E2427" t="s">
        <v>349</v>
      </c>
      <c r="F2427" t="s">
        <v>80</v>
      </c>
      <c r="G2427" t="s">
        <v>290</v>
      </c>
      <c r="H2427" s="4">
        <v>9</v>
      </c>
      <c r="I2427" t="str">
        <f t="shared" si="37"/>
        <v>Apionichthys dumeriliLongtail sole</v>
      </c>
    </row>
    <row r="2428" spans="1:9" x14ac:dyDescent="0.35">
      <c r="A2428">
        <v>34</v>
      </c>
      <c r="B2428">
        <v>2018</v>
      </c>
      <c r="C2428">
        <v>3</v>
      </c>
      <c r="D2428" t="s">
        <v>176</v>
      </c>
      <c r="E2428" t="s">
        <v>349</v>
      </c>
      <c r="F2428" t="s">
        <v>80</v>
      </c>
      <c r="G2428" t="s">
        <v>290</v>
      </c>
      <c r="H2428" s="4">
        <v>7</v>
      </c>
      <c r="I2428" t="str">
        <f t="shared" si="37"/>
        <v>Apionichthys dumeriliLongtail sole</v>
      </c>
    </row>
    <row r="2429" spans="1:9" x14ac:dyDescent="0.35">
      <c r="A2429">
        <v>34</v>
      </c>
      <c r="B2429">
        <v>2018</v>
      </c>
      <c r="C2429">
        <v>3</v>
      </c>
      <c r="D2429" t="s">
        <v>176</v>
      </c>
      <c r="E2429" t="s">
        <v>349</v>
      </c>
      <c r="F2429" t="s">
        <v>80</v>
      </c>
      <c r="G2429" t="s">
        <v>290</v>
      </c>
      <c r="H2429" s="4">
        <v>9</v>
      </c>
      <c r="I2429" t="str">
        <f t="shared" si="37"/>
        <v>Apionichthys dumeriliLongtail sole</v>
      </c>
    </row>
    <row r="2430" spans="1:9" x14ac:dyDescent="0.35">
      <c r="A2430">
        <v>34</v>
      </c>
      <c r="B2430">
        <v>2018</v>
      </c>
      <c r="C2430">
        <v>3</v>
      </c>
      <c r="D2430" t="s">
        <v>176</v>
      </c>
      <c r="E2430" t="s">
        <v>349</v>
      </c>
      <c r="F2430" t="s">
        <v>80</v>
      </c>
      <c r="G2430" t="s">
        <v>290</v>
      </c>
      <c r="H2430" s="4">
        <v>7</v>
      </c>
      <c r="I2430" t="str">
        <f t="shared" si="37"/>
        <v>Apionichthys dumeriliLongtail sole</v>
      </c>
    </row>
    <row r="2431" spans="1:9" x14ac:dyDescent="0.35">
      <c r="A2431">
        <v>34</v>
      </c>
      <c r="B2431">
        <v>2018</v>
      </c>
      <c r="C2431">
        <v>3</v>
      </c>
      <c r="D2431" t="s">
        <v>176</v>
      </c>
      <c r="E2431" t="s">
        <v>349</v>
      </c>
      <c r="F2431" t="s">
        <v>80</v>
      </c>
      <c r="G2431" t="s">
        <v>290</v>
      </c>
      <c r="H2431" s="4">
        <v>8</v>
      </c>
      <c r="I2431" t="str">
        <f t="shared" si="37"/>
        <v>Apionichthys dumeriliLongtail sole</v>
      </c>
    </row>
    <row r="2432" spans="1:9" x14ac:dyDescent="0.35">
      <c r="A2432">
        <v>34</v>
      </c>
      <c r="B2432">
        <v>2018</v>
      </c>
      <c r="C2432">
        <v>3</v>
      </c>
      <c r="D2432" t="s">
        <v>176</v>
      </c>
      <c r="E2432" t="s">
        <v>349</v>
      </c>
      <c r="F2432" t="s">
        <v>80</v>
      </c>
      <c r="G2432" t="s">
        <v>290</v>
      </c>
      <c r="H2432" s="4">
        <v>9</v>
      </c>
      <c r="I2432" t="str">
        <f t="shared" si="37"/>
        <v>Apionichthys dumeriliLongtail sole</v>
      </c>
    </row>
    <row r="2433" spans="1:9" x14ac:dyDescent="0.35">
      <c r="A2433">
        <v>34</v>
      </c>
      <c r="B2433">
        <v>2018</v>
      </c>
      <c r="C2433">
        <v>3</v>
      </c>
      <c r="D2433" t="s">
        <v>176</v>
      </c>
      <c r="E2433" t="s">
        <v>349</v>
      </c>
      <c r="F2433" t="s">
        <v>80</v>
      </c>
      <c r="G2433" t="s">
        <v>290</v>
      </c>
      <c r="H2433" s="4">
        <v>9</v>
      </c>
      <c r="I2433" t="str">
        <f t="shared" si="37"/>
        <v>Apionichthys dumeriliLongtail sole</v>
      </c>
    </row>
    <row r="2434" spans="1:9" x14ac:dyDescent="0.35">
      <c r="A2434">
        <v>34</v>
      </c>
      <c r="B2434">
        <v>2018</v>
      </c>
      <c r="C2434">
        <v>3</v>
      </c>
      <c r="D2434" t="s">
        <v>176</v>
      </c>
      <c r="E2434" t="s">
        <v>349</v>
      </c>
      <c r="F2434" t="s">
        <v>80</v>
      </c>
      <c r="G2434" t="s">
        <v>290</v>
      </c>
      <c r="H2434" s="4">
        <v>7</v>
      </c>
      <c r="I2434" t="str">
        <f t="shared" ref="I2434:I2497" si="38">CONCATENATE(F2434,G2434)</f>
        <v>Apionichthys dumeriliLongtail sole</v>
      </c>
    </row>
    <row r="2435" spans="1:9" x14ac:dyDescent="0.35">
      <c r="A2435">
        <v>34</v>
      </c>
      <c r="B2435">
        <v>2018</v>
      </c>
      <c r="C2435">
        <v>3</v>
      </c>
      <c r="D2435" t="s">
        <v>176</v>
      </c>
      <c r="E2435" t="s">
        <v>349</v>
      </c>
      <c r="F2435" t="s">
        <v>80</v>
      </c>
      <c r="G2435" t="s">
        <v>290</v>
      </c>
      <c r="H2435" s="4">
        <v>9</v>
      </c>
      <c r="I2435" t="str">
        <f t="shared" si="38"/>
        <v>Apionichthys dumeriliLongtail sole</v>
      </c>
    </row>
    <row r="2436" spans="1:9" x14ac:dyDescent="0.35">
      <c r="A2436">
        <v>34</v>
      </c>
      <c r="B2436">
        <v>2018</v>
      </c>
      <c r="C2436">
        <v>3</v>
      </c>
      <c r="D2436" t="s">
        <v>176</v>
      </c>
      <c r="E2436" t="s">
        <v>349</v>
      </c>
      <c r="F2436" t="s">
        <v>80</v>
      </c>
      <c r="G2436" t="s">
        <v>290</v>
      </c>
      <c r="H2436" s="4">
        <v>8</v>
      </c>
      <c r="I2436" t="str">
        <f t="shared" si="38"/>
        <v>Apionichthys dumeriliLongtail sole</v>
      </c>
    </row>
    <row r="2437" spans="1:9" x14ac:dyDescent="0.35">
      <c r="A2437">
        <v>34</v>
      </c>
      <c r="B2437">
        <v>2018</v>
      </c>
      <c r="C2437">
        <v>3</v>
      </c>
      <c r="D2437" t="s">
        <v>176</v>
      </c>
      <c r="E2437" t="s">
        <v>349</v>
      </c>
      <c r="F2437" t="s">
        <v>80</v>
      </c>
      <c r="G2437" t="s">
        <v>290</v>
      </c>
      <c r="H2437" s="4">
        <v>7</v>
      </c>
      <c r="I2437" t="str">
        <f t="shared" si="38"/>
        <v>Apionichthys dumeriliLongtail sole</v>
      </c>
    </row>
    <row r="2438" spans="1:9" x14ac:dyDescent="0.35">
      <c r="A2438">
        <v>34</v>
      </c>
      <c r="B2438">
        <v>2018</v>
      </c>
      <c r="C2438">
        <v>3</v>
      </c>
      <c r="D2438" t="s">
        <v>176</v>
      </c>
      <c r="E2438" t="s">
        <v>349</v>
      </c>
      <c r="F2438" t="s">
        <v>80</v>
      </c>
      <c r="G2438" t="s">
        <v>290</v>
      </c>
      <c r="H2438" s="4">
        <v>10</v>
      </c>
      <c r="I2438" t="str">
        <f t="shared" si="38"/>
        <v>Apionichthys dumeriliLongtail sole</v>
      </c>
    </row>
    <row r="2439" spans="1:9" x14ac:dyDescent="0.35">
      <c r="A2439">
        <v>34</v>
      </c>
      <c r="B2439">
        <v>2018</v>
      </c>
      <c r="C2439">
        <v>3</v>
      </c>
      <c r="D2439" t="s">
        <v>176</v>
      </c>
      <c r="E2439" t="s">
        <v>349</v>
      </c>
      <c r="F2439" t="s">
        <v>80</v>
      </c>
      <c r="G2439" t="s">
        <v>290</v>
      </c>
      <c r="H2439" s="4">
        <v>8</v>
      </c>
      <c r="I2439" t="str">
        <f t="shared" si="38"/>
        <v>Apionichthys dumeriliLongtail sole</v>
      </c>
    </row>
    <row r="2440" spans="1:9" x14ac:dyDescent="0.35">
      <c r="A2440">
        <v>34</v>
      </c>
      <c r="B2440">
        <v>2018</v>
      </c>
      <c r="C2440">
        <v>3</v>
      </c>
      <c r="D2440" t="s">
        <v>176</v>
      </c>
      <c r="E2440" t="s">
        <v>349</v>
      </c>
      <c r="F2440" t="s">
        <v>80</v>
      </c>
      <c r="G2440" t="s">
        <v>290</v>
      </c>
      <c r="H2440" s="4">
        <v>5</v>
      </c>
      <c r="I2440" t="str">
        <f t="shared" si="38"/>
        <v>Apionichthys dumeriliLongtail sole</v>
      </c>
    </row>
    <row r="2441" spans="1:9" x14ac:dyDescent="0.35">
      <c r="A2441">
        <v>34</v>
      </c>
      <c r="B2441">
        <v>2018</v>
      </c>
      <c r="C2441">
        <v>3</v>
      </c>
      <c r="D2441" t="s">
        <v>176</v>
      </c>
      <c r="E2441" t="s">
        <v>349</v>
      </c>
      <c r="F2441" t="s">
        <v>80</v>
      </c>
      <c r="G2441" t="s">
        <v>290</v>
      </c>
      <c r="H2441" s="4">
        <v>6</v>
      </c>
      <c r="I2441" t="str">
        <f t="shared" si="38"/>
        <v>Apionichthys dumeriliLongtail sole</v>
      </c>
    </row>
    <row r="2442" spans="1:9" x14ac:dyDescent="0.35">
      <c r="A2442">
        <v>34</v>
      </c>
      <c r="B2442">
        <v>2018</v>
      </c>
      <c r="C2442">
        <v>3</v>
      </c>
      <c r="D2442" t="s">
        <v>176</v>
      </c>
      <c r="E2442" t="s">
        <v>349</v>
      </c>
      <c r="F2442" t="s">
        <v>80</v>
      </c>
      <c r="G2442" t="s">
        <v>290</v>
      </c>
      <c r="H2442" s="4">
        <v>8</v>
      </c>
      <c r="I2442" t="str">
        <f t="shared" si="38"/>
        <v>Apionichthys dumeriliLongtail sole</v>
      </c>
    </row>
    <row r="2443" spans="1:9" x14ac:dyDescent="0.35">
      <c r="A2443">
        <v>34</v>
      </c>
      <c r="B2443">
        <v>2018</v>
      </c>
      <c r="C2443">
        <v>3</v>
      </c>
      <c r="D2443" t="s">
        <v>176</v>
      </c>
      <c r="E2443" t="s">
        <v>349</v>
      </c>
      <c r="F2443" t="s">
        <v>80</v>
      </c>
      <c r="G2443" t="s">
        <v>290</v>
      </c>
      <c r="H2443" s="4">
        <v>8</v>
      </c>
      <c r="I2443" t="str">
        <f t="shared" si="38"/>
        <v>Apionichthys dumeriliLongtail sole</v>
      </c>
    </row>
    <row r="2444" spans="1:9" x14ac:dyDescent="0.35">
      <c r="A2444">
        <v>34</v>
      </c>
      <c r="B2444">
        <v>2018</v>
      </c>
      <c r="C2444">
        <v>3</v>
      </c>
      <c r="D2444" t="s">
        <v>176</v>
      </c>
      <c r="E2444" t="s">
        <v>349</v>
      </c>
      <c r="F2444" t="s">
        <v>80</v>
      </c>
      <c r="G2444" t="s">
        <v>290</v>
      </c>
      <c r="H2444" s="4">
        <v>9</v>
      </c>
      <c r="I2444" t="str">
        <f t="shared" si="38"/>
        <v>Apionichthys dumeriliLongtail sole</v>
      </c>
    </row>
    <row r="2445" spans="1:9" x14ac:dyDescent="0.35">
      <c r="A2445">
        <v>35</v>
      </c>
      <c r="B2445">
        <v>2018</v>
      </c>
      <c r="C2445">
        <v>4</v>
      </c>
      <c r="D2445" t="s">
        <v>175</v>
      </c>
      <c r="E2445" t="s">
        <v>349</v>
      </c>
      <c r="F2445" t="s">
        <v>43</v>
      </c>
      <c r="G2445" t="s">
        <v>57</v>
      </c>
      <c r="H2445" s="4">
        <v>21</v>
      </c>
      <c r="I2445" t="str">
        <f t="shared" si="38"/>
        <v>Cynoscion virescensSeatrout</v>
      </c>
    </row>
    <row r="2446" spans="1:9" x14ac:dyDescent="0.35">
      <c r="A2446">
        <v>35</v>
      </c>
      <c r="B2446">
        <v>2018</v>
      </c>
      <c r="C2446">
        <v>4</v>
      </c>
      <c r="D2446" t="s">
        <v>175</v>
      </c>
      <c r="E2446" t="s">
        <v>349</v>
      </c>
      <c r="F2446" t="s">
        <v>43</v>
      </c>
      <c r="G2446" t="s">
        <v>57</v>
      </c>
      <c r="H2446" s="4">
        <v>17</v>
      </c>
      <c r="I2446" t="str">
        <f t="shared" si="38"/>
        <v>Cynoscion virescensSeatrout</v>
      </c>
    </row>
    <row r="2447" spans="1:9" x14ac:dyDescent="0.35">
      <c r="A2447">
        <v>35</v>
      </c>
      <c r="B2447">
        <v>2018</v>
      </c>
      <c r="C2447">
        <v>4</v>
      </c>
      <c r="D2447" t="s">
        <v>175</v>
      </c>
      <c r="E2447" t="s">
        <v>349</v>
      </c>
      <c r="F2447" t="s">
        <v>43</v>
      </c>
      <c r="G2447" t="s">
        <v>57</v>
      </c>
      <c r="H2447" s="4">
        <v>14</v>
      </c>
      <c r="I2447" t="str">
        <f t="shared" si="38"/>
        <v>Cynoscion virescensSeatrout</v>
      </c>
    </row>
    <row r="2448" spans="1:9" x14ac:dyDescent="0.35">
      <c r="A2448">
        <v>35</v>
      </c>
      <c r="B2448">
        <v>2018</v>
      </c>
      <c r="C2448">
        <v>4</v>
      </c>
      <c r="D2448" t="s">
        <v>175</v>
      </c>
      <c r="E2448" t="s">
        <v>349</v>
      </c>
      <c r="F2448" t="s">
        <v>43</v>
      </c>
      <c r="G2448" t="s">
        <v>57</v>
      </c>
      <c r="H2448" s="4">
        <v>19</v>
      </c>
      <c r="I2448" t="str">
        <f t="shared" si="38"/>
        <v>Cynoscion virescensSeatrout</v>
      </c>
    </row>
    <row r="2449" spans="1:9" x14ac:dyDescent="0.35">
      <c r="A2449">
        <v>35</v>
      </c>
      <c r="B2449">
        <v>2018</v>
      </c>
      <c r="C2449">
        <v>4</v>
      </c>
      <c r="D2449" t="s">
        <v>175</v>
      </c>
      <c r="E2449" t="s">
        <v>349</v>
      </c>
      <c r="F2449" t="s">
        <v>43</v>
      </c>
      <c r="G2449" t="s">
        <v>57</v>
      </c>
      <c r="H2449" s="4">
        <v>20</v>
      </c>
      <c r="I2449" t="str">
        <f t="shared" si="38"/>
        <v>Cynoscion virescensSeatrout</v>
      </c>
    </row>
    <row r="2450" spans="1:9" x14ac:dyDescent="0.35">
      <c r="A2450">
        <v>35</v>
      </c>
      <c r="B2450">
        <v>2018</v>
      </c>
      <c r="C2450">
        <v>4</v>
      </c>
      <c r="D2450" t="s">
        <v>175</v>
      </c>
      <c r="E2450" t="s">
        <v>349</v>
      </c>
      <c r="F2450" t="s">
        <v>43</v>
      </c>
      <c r="G2450" t="s">
        <v>57</v>
      </c>
      <c r="H2450" s="4">
        <v>18</v>
      </c>
      <c r="I2450" t="str">
        <f t="shared" si="38"/>
        <v>Cynoscion virescensSeatrout</v>
      </c>
    </row>
    <row r="2451" spans="1:9" x14ac:dyDescent="0.35">
      <c r="A2451">
        <v>35</v>
      </c>
      <c r="B2451">
        <v>2018</v>
      </c>
      <c r="C2451">
        <v>4</v>
      </c>
      <c r="D2451" t="s">
        <v>175</v>
      </c>
      <c r="E2451" t="s">
        <v>349</v>
      </c>
      <c r="F2451" t="s">
        <v>43</v>
      </c>
      <c r="G2451" t="s">
        <v>57</v>
      </c>
      <c r="H2451" s="4">
        <v>21</v>
      </c>
      <c r="I2451" t="str">
        <f t="shared" si="38"/>
        <v>Cynoscion virescensSeatrout</v>
      </c>
    </row>
    <row r="2452" spans="1:9" x14ac:dyDescent="0.35">
      <c r="A2452">
        <v>35</v>
      </c>
      <c r="B2452">
        <v>2018</v>
      </c>
      <c r="C2452">
        <v>4</v>
      </c>
      <c r="D2452" t="s">
        <v>175</v>
      </c>
      <c r="E2452" t="s">
        <v>349</v>
      </c>
      <c r="F2452" t="s">
        <v>43</v>
      </c>
      <c r="G2452" t="s">
        <v>57</v>
      </c>
      <c r="H2452" s="4">
        <v>18</v>
      </c>
      <c r="I2452" t="str">
        <f t="shared" si="38"/>
        <v>Cynoscion virescensSeatrout</v>
      </c>
    </row>
    <row r="2453" spans="1:9" x14ac:dyDescent="0.35">
      <c r="A2453">
        <v>35</v>
      </c>
      <c r="B2453">
        <v>2018</v>
      </c>
      <c r="C2453">
        <v>4</v>
      </c>
      <c r="D2453" t="s">
        <v>175</v>
      </c>
      <c r="E2453" t="s">
        <v>349</v>
      </c>
      <c r="F2453" t="s">
        <v>43</v>
      </c>
      <c r="G2453" t="s">
        <v>57</v>
      </c>
      <c r="H2453" s="4">
        <v>22</v>
      </c>
      <c r="I2453" t="str">
        <f t="shared" si="38"/>
        <v>Cynoscion virescensSeatrout</v>
      </c>
    </row>
    <row r="2454" spans="1:9" x14ac:dyDescent="0.35">
      <c r="A2454">
        <v>35</v>
      </c>
      <c r="B2454">
        <v>2018</v>
      </c>
      <c r="C2454">
        <v>4</v>
      </c>
      <c r="D2454" t="s">
        <v>175</v>
      </c>
      <c r="E2454" t="s">
        <v>349</v>
      </c>
      <c r="F2454" t="s">
        <v>43</v>
      </c>
      <c r="G2454" t="s">
        <v>57</v>
      </c>
      <c r="H2454" s="4">
        <v>16</v>
      </c>
      <c r="I2454" t="str">
        <f t="shared" si="38"/>
        <v>Cynoscion virescensSeatrout</v>
      </c>
    </row>
    <row r="2455" spans="1:9" x14ac:dyDescent="0.35">
      <c r="A2455">
        <v>35</v>
      </c>
      <c r="B2455">
        <v>2018</v>
      </c>
      <c r="C2455">
        <v>4</v>
      </c>
      <c r="D2455" t="s">
        <v>175</v>
      </c>
      <c r="E2455" t="s">
        <v>349</v>
      </c>
      <c r="F2455" t="s">
        <v>43</v>
      </c>
      <c r="G2455" t="s">
        <v>57</v>
      </c>
      <c r="H2455" s="4">
        <v>21</v>
      </c>
      <c r="I2455" t="str">
        <f t="shared" si="38"/>
        <v>Cynoscion virescensSeatrout</v>
      </c>
    </row>
    <row r="2456" spans="1:9" x14ac:dyDescent="0.35">
      <c r="A2456">
        <v>35</v>
      </c>
      <c r="B2456">
        <v>2018</v>
      </c>
      <c r="C2456">
        <v>4</v>
      </c>
      <c r="D2456" t="s">
        <v>175</v>
      </c>
      <c r="E2456" t="s">
        <v>349</v>
      </c>
      <c r="F2456" t="s">
        <v>43</v>
      </c>
      <c r="G2456" t="s">
        <v>57</v>
      </c>
      <c r="H2456" s="4">
        <v>15</v>
      </c>
      <c r="I2456" t="str">
        <f t="shared" si="38"/>
        <v>Cynoscion virescensSeatrout</v>
      </c>
    </row>
    <row r="2457" spans="1:9" x14ac:dyDescent="0.35">
      <c r="A2457">
        <v>35</v>
      </c>
      <c r="B2457">
        <v>2018</v>
      </c>
      <c r="C2457">
        <v>4</v>
      </c>
      <c r="D2457" t="s">
        <v>175</v>
      </c>
      <c r="E2457" t="s">
        <v>349</v>
      </c>
      <c r="F2457" t="s">
        <v>43</v>
      </c>
      <c r="G2457" t="s">
        <v>57</v>
      </c>
      <c r="H2457" s="4">
        <v>14</v>
      </c>
      <c r="I2457" t="str">
        <f t="shared" si="38"/>
        <v>Cynoscion virescensSeatrout</v>
      </c>
    </row>
    <row r="2458" spans="1:9" x14ac:dyDescent="0.35">
      <c r="A2458">
        <v>35</v>
      </c>
      <c r="B2458">
        <v>2018</v>
      </c>
      <c r="C2458">
        <v>4</v>
      </c>
      <c r="D2458" t="s">
        <v>175</v>
      </c>
      <c r="E2458" t="s">
        <v>349</v>
      </c>
      <c r="F2458" t="s">
        <v>43</v>
      </c>
      <c r="G2458" t="s">
        <v>57</v>
      </c>
      <c r="H2458" s="4">
        <v>17</v>
      </c>
      <c r="I2458" t="str">
        <f t="shared" si="38"/>
        <v>Cynoscion virescensSeatrout</v>
      </c>
    </row>
    <row r="2459" spans="1:9" x14ac:dyDescent="0.35">
      <c r="A2459">
        <v>35</v>
      </c>
      <c r="B2459">
        <v>2018</v>
      </c>
      <c r="C2459">
        <v>4</v>
      </c>
      <c r="D2459" t="s">
        <v>175</v>
      </c>
      <c r="E2459" t="s">
        <v>349</v>
      </c>
      <c r="F2459" t="s">
        <v>43</v>
      </c>
      <c r="G2459" t="s">
        <v>57</v>
      </c>
      <c r="H2459" s="4">
        <v>14</v>
      </c>
      <c r="I2459" t="str">
        <f t="shared" si="38"/>
        <v>Cynoscion virescensSeatrout</v>
      </c>
    </row>
    <row r="2460" spans="1:9" x14ac:dyDescent="0.35">
      <c r="A2460">
        <v>35</v>
      </c>
      <c r="B2460">
        <v>2018</v>
      </c>
      <c r="C2460">
        <v>4</v>
      </c>
      <c r="D2460" t="s">
        <v>175</v>
      </c>
      <c r="E2460" t="s">
        <v>349</v>
      </c>
      <c r="F2460" t="s">
        <v>43</v>
      </c>
      <c r="G2460" t="s">
        <v>57</v>
      </c>
      <c r="H2460" s="4">
        <v>18</v>
      </c>
      <c r="I2460" t="str">
        <f t="shared" si="38"/>
        <v>Cynoscion virescensSeatrout</v>
      </c>
    </row>
    <row r="2461" spans="1:9" x14ac:dyDescent="0.35">
      <c r="A2461">
        <v>35</v>
      </c>
      <c r="B2461">
        <v>2018</v>
      </c>
      <c r="C2461">
        <v>4</v>
      </c>
      <c r="D2461" t="s">
        <v>175</v>
      </c>
      <c r="E2461" t="s">
        <v>349</v>
      </c>
      <c r="F2461" t="s">
        <v>43</v>
      </c>
      <c r="G2461" t="s">
        <v>57</v>
      </c>
      <c r="H2461" s="4">
        <v>17</v>
      </c>
      <c r="I2461" t="str">
        <f t="shared" si="38"/>
        <v>Cynoscion virescensSeatrout</v>
      </c>
    </row>
    <row r="2462" spans="1:9" x14ac:dyDescent="0.35">
      <c r="A2462">
        <v>35</v>
      </c>
      <c r="B2462">
        <v>2018</v>
      </c>
      <c r="C2462">
        <v>4</v>
      </c>
      <c r="D2462" t="s">
        <v>175</v>
      </c>
      <c r="E2462" t="s">
        <v>349</v>
      </c>
      <c r="F2462" t="s">
        <v>43</v>
      </c>
      <c r="G2462" t="s">
        <v>57</v>
      </c>
      <c r="H2462" s="4">
        <v>15</v>
      </c>
      <c r="I2462" t="str">
        <f t="shared" si="38"/>
        <v>Cynoscion virescensSeatrout</v>
      </c>
    </row>
    <row r="2463" spans="1:9" x14ac:dyDescent="0.35">
      <c r="A2463">
        <v>35</v>
      </c>
      <c r="B2463">
        <v>2018</v>
      </c>
      <c r="C2463">
        <v>4</v>
      </c>
      <c r="D2463" t="s">
        <v>175</v>
      </c>
      <c r="E2463" t="s">
        <v>349</v>
      </c>
      <c r="F2463" t="s">
        <v>43</v>
      </c>
      <c r="G2463" t="s">
        <v>57</v>
      </c>
      <c r="H2463" s="4">
        <v>23</v>
      </c>
      <c r="I2463" t="str">
        <f t="shared" si="38"/>
        <v>Cynoscion virescensSeatrout</v>
      </c>
    </row>
    <row r="2464" spans="1:9" x14ac:dyDescent="0.35">
      <c r="A2464">
        <v>35</v>
      </c>
      <c r="B2464">
        <v>2018</v>
      </c>
      <c r="C2464">
        <v>4</v>
      </c>
      <c r="D2464" t="s">
        <v>175</v>
      </c>
      <c r="E2464" t="s">
        <v>349</v>
      </c>
      <c r="F2464" t="s">
        <v>43</v>
      </c>
      <c r="G2464" t="s">
        <v>57</v>
      </c>
      <c r="H2464" s="4">
        <v>20</v>
      </c>
      <c r="I2464" t="str">
        <f t="shared" si="38"/>
        <v>Cynoscion virescensSeatrout</v>
      </c>
    </row>
    <row r="2465" spans="1:9" x14ac:dyDescent="0.35">
      <c r="A2465">
        <v>35</v>
      </c>
      <c r="B2465">
        <v>2018</v>
      </c>
      <c r="C2465">
        <v>4</v>
      </c>
      <c r="D2465" t="s">
        <v>175</v>
      </c>
      <c r="E2465" t="s">
        <v>349</v>
      </c>
      <c r="F2465" t="s">
        <v>43</v>
      </c>
      <c r="G2465" t="s">
        <v>57</v>
      </c>
      <c r="H2465" s="4">
        <v>13</v>
      </c>
      <c r="I2465" t="str">
        <f t="shared" si="38"/>
        <v>Cynoscion virescensSeatrout</v>
      </c>
    </row>
    <row r="2466" spans="1:9" x14ac:dyDescent="0.35">
      <c r="A2466">
        <v>35</v>
      </c>
      <c r="B2466">
        <v>2018</v>
      </c>
      <c r="C2466">
        <v>4</v>
      </c>
      <c r="D2466" t="s">
        <v>175</v>
      </c>
      <c r="E2466" t="s">
        <v>349</v>
      </c>
      <c r="F2466" t="s">
        <v>43</v>
      </c>
      <c r="G2466" t="s">
        <v>57</v>
      </c>
      <c r="H2466" s="4">
        <v>15</v>
      </c>
      <c r="I2466" t="str">
        <f t="shared" si="38"/>
        <v>Cynoscion virescensSeatrout</v>
      </c>
    </row>
    <row r="2467" spans="1:9" x14ac:dyDescent="0.35">
      <c r="A2467">
        <v>35</v>
      </c>
      <c r="B2467">
        <v>2018</v>
      </c>
      <c r="C2467">
        <v>4</v>
      </c>
      <c r="D2467" t="s">
        <v>175</v>
      </c>
      <c r="E2467" t="s">
        <v>349</v>
      </c>
      <c r="F2467" t="s">
        <v>43</v>
      </c>
      <c r="G2467" t="s">
        <v>57</v>
      </c>
      <c r="H2467" s="4">
        <v>11</v>
      </c>
      <c r="I2467" t="str">
        <f t="shared" si="38"/>
        <v>Cynoscion virescensSeatrout</v>
      </c>
    </row>
    <row r="2468" spans="1:9" x14ac:dyDescent="0.35">
      <c r="A2468">
        <v>35</v>
      </c>
      <c r="B2468">
        <v>2018</v>
      </c>
      <c r="C2468">
        <v>4</v>
      </c>
      <c r="D2468" t="s">
        <v>175</v>
      </c>
      <c r="E2468" t="s">
        <v>349</v>
      </c>
      <c r="F2468" t="s">
        <v>43</v>
      </c>
      <c r="G2468" t="s">
        <v>57</v>
      </c>
      <c r="H2468" s="4">
        <v>12</v>
      </c>
      <c r="I2468" t="str">
        <f t="shared" si="38"/>
        <v>Cynoscion virescensSeatrout</v>
      </c>
    </row>
    <row r="2469" spans="1:9" x14ac:dyDescent="0.35">
      <c r="A2469">
        <v>35</v>
      </c>
      <c r="B2469">
        <v>2018</v>
      </c>
      <c r="C2469">
        <v>4</v>
      </c>
      <c r="D2469" t="s">
        <v>175</v>
      </c>
      <c r="E2469" t="s">
        <v>349</v>
      </c>
      <c r="F2469" t="s">
        <v>43</v>
      </c>
      <c r="G2469" t="s">
        <v>57</v>
      </c>
      <c r="H2469" s="4">
        <v>10</v>
      </c>
      <c r="I2469" t="str">
        <f t="shared" si="38"/>
        <v>Cynoscion virescensSeatrout</v>
      </c>
    </row>
    <row r="2470" spans="1:9" x14ac:dyDescent="0.35">
      <c r="A2470">
        <v>35</v>
      </c>
      <c r="B2470">
        <v>2018</v>
      </c>
      <c r="C2470">
        <v>4</v>
      </c>
      <c r="D2470" t="s">
        <v>175</v>
      </c>
      <c r="E2470" t="s">
        <v>349</v>
      </c>
      <c r="F2470" t="s">
        <v>43</v>
      </c>
      <c r="G2470" t="s">
        <v>57</v>
      </c>
      <c r="H2470" s="4">
        <v>9</v>
      </c>
      <c r="I2470" t="str">
        <f t="shared" si="38"/>
        <v>Cynoscion virescensSeatrout</v>
      </c>
    </row>
    <row r="2471" spans="1:9" x14ac:dyDescent="0.35">
      <c r="A2471">
        <v>35</v>
      </c>
      <c r="B2471">
        <v>2018</v>
      </c>
      <c r="C2471">
        <v>4</v>
      </c>
      <c r="D2471" t="s">
        <v>175</v>
      </c>
      <c r="E2471" t="s">
        <v>349</v>
      </c>
      <c r="F2471" t="s">
        <v>43</v>
      </c>
      <c r="G2471" t="s">
        <v>57</v>
      </c>
      <c r="H2471" s="4">
        <v>13</v>
      </c>
      <c r="I2471" t="str">
        <f t="shared" si="38"/>
        <v>Cynoscion virescensSeatrout</v>
      </c>
    </row>
    <row r="2472" spans="1:9" x14ac:dyDescent="0.35">
      <c r="A2472">
        <v>35</v>
      </c>
      <c r="B2472">
        <v>2018</v>
      </c>
      <c r="C2472">
        <v>4</v>
      </c>
      <c r="D2472" t="s">
        <v>175</v>
      </c>
      <c r="E2472" t="s">
        <v>349</v>
      </c>
      <c r="F2472" t="s">
        <v>43</v>
      </c>
      <c r="G2472" t="s">
        <v>57</v>
      </c>
      <c r="H2472" s="4">
        <v>11</v>
      </c>
      <c r="I2472" t="str">
        <f t="shared" si="38"/>
        <v>Cynoscion virescensSeatrout</v>
      </c>
    </row>
    <row r="2473" spans="1:9" x14ac:dyDescent="0.35">
      <c r="A2473">
        <v>35</v>
      </c>
      <c r="B2473">
        <v>2018</v>
      </c>
      <c r="C2473">
        <v>4</v>
      </c>
      <c r="D2473" t="s">
        <v>175</v>
      </c>
      <c r="E2473" t="s">
        <v>349</v>
      </c>
      <c r="F2473" t="s">
        <v>43</v>
      </c>
      <c r="G2473" t="s">
        <v>57</v>
      </c>
      <c r="H2473" s="4">
        <v>11</v>
      </c>
      <c r="I2473" t="str">
        <f t="shared" si="38"/>
        <v>Cynoscion virescensSeatrout</v>
      </c>
    </row>
    <row r="2474" spans="1:9" x14ac:dyDescent="0.35">
      <c r="A2474">
        <v>35</v>
      </c>
      <c r="B2474">
        <v>2018</v>
      </c>
      <c r="C2474">
        <v>4</v>
      </c>
      <c r="D2474" t="s">
        <v>175</v>
      </c>
      <c r="E2474" t="s">
        <v>349</v>
      </c>
      <c r="F2474" t="s">
        <v>43</v>
      </c>
      <c r="G2474" t="s">
        <v>57</v>
      </c>
      <c r="H2474" s="4">
        <v>9</v>
      </c>
      <c r="I2474" t="str">
        <f t="shared" si="38"/>
        <v>Cynoscion virescensSeatrout</v>
      </c>
    </row>
    <row r="2475" spans="1:9" x14ac:dyDescent="0.35">
      <c r="A2475">
        <v>35</v>
      </c>
      <c r="B2475">
        <v>2018</v>
      </c>
      <c r="C2475">
        <v>4</v>
      </c>
      <c r="D2475" t="s">
        <v>175</v>
      </c>
      <c r="E2475" t="s">
        <v>349</v>
      </c>
      <c r="F2475" t="s">
        <v>40</v>
      </c>
      <c r="G2475" t="s">
        <v>35</v>
      </c>
      <c r="H2475" s="4">
        <v>16</v>
      </c>
      <c r="I2475" t="str">
        <f t="shared" si="38"/>
        <v>Macrodon ancylodonBangamary</v>
      </c>
    </row>
    <row r="2476" spans="1:9" x14ac:dyDescent="0.35">
      <c r="A2476">
        <v>35</v>
      </c>
      <c r="B2476">
        <v>2018</v>
      </c>
      <c r="C2476">
        <v>4</v>
      </c>
      <c r="D2476" t="s">
        <v>175</v>
      </c>
      <c r="E2476" t="s">
        <v>349</v>
      </c>
      <c r="F2476" t="s">
        <v>40</v>
      </c>
      <c r="G2476" t="s">
        <v>35</v>
      </c>
      <c r="H2476" s="4">
        <v>18</v>
      </c>
      <c r="I2476" t="str">
        <f t="shared" si="38"/>
        <v>Macrodon ancylodonBangamary</v>
      </c>
    </row>
    <row r="2477" spans="1:9" x14ac:dyDescent="0.35">
      <c r="A2477">
        <v>35</v>
      </c>
      <c r="B2477">
        <v>2018</v>
      </c>
      <c r="C2477">
        <v>4</v>
      </c>
      <c r="D2477" t="s">
        <v>175</v>
      </c>
      <c r="E2477" t="s">
        <v>349</v>
      </c>
      <c r="F2477" t="s">
        <v>40</v>
      </c>
      <c r="G2477" t="s">
        <v>35</v>
      </c>
      <c r="H2477" s="4">
        <v>22</v>
      </c>
      <c r="I2477" t="str">
        <f t="shared" si="38"/>
        <v>Macrodon ancylodonBangamary</v>
      </c>
    </row>
    <row r="2478" spans="1:9" x14ac:dyDescent="0.35">
      <c r="A2478">
        <v>35</v>
      </c>
      <c r="B2478">
        <v>2018</v>
      </c>
      <c r="C2478">
        <v>4</v>
      </c>
      <c r="D2478" t="s">
        <v>175</v>
      </c>
      <c r="E2478" t="s">
        <v>349</v>
      </c>
      <c r="F2478" t="s">
        <v>40</v>
      </c>
      <c r="G2478" t="s">
        <v>35</v>
      </c>
      <c r="H2478" s="4">
        <v>20</v>
      </c>
      <c r="I2478" t="str">
        <f t="shared" si="38"/>
        <v>Macrodon ancylodonBangamary</v>
      </c>
    </row>
    <row r="2479" spans="1:9" x14ac:dyDescent="0.35">
      <c r="A2479">
        <v>35</v>
      </c>
      <c r="B2479">
        <v>2018</v>
      </c>
      <c r="C2479">
        <v>4</v>
      </c>
      <c r="D2479" t="s">
        <v>175</v>
      </c>
      <c r="E2479" t="s">
        <v>349</v>
      </c>
      <c r="F2479" t="s">
        <v>40</v>
      </c>
      <c r="G2479" t="s">
        <v>35</v>
      </c>
      <c r="H2479" s="4">
        <v>18</v>
      </c>
      <c r="I2479" t="str">
        <f t="shared" si="38"/>
        <v>Macrodon ancylodonBangamary</v>
      </c>
    </row>
    <row r="2480" spans="1:9" x14ac:dyDescent="0.35">
      <c r="A2480">
        <v>35</v>
      </c>
      <c r="B2480">
        <v>2018</v>
      </c>
      <c r="C2480">
        <v>4</v>
      </c>
      <c r="D2480" t="s">
        <v>175</v>
      </c>
      <c r="E2480" t="s">
        <v>349</v>
      </c>
      <c r="F2480" t="s">
        <v>40</v>
      </c>
      <c r="G2480" t="s">
        <v>35</v>
      </c>
      <c r="H2480" s="4">
        <v>19</v>
      </c>
      <c r="I2480" t="str">
        <f t="shared" si="38"/>
        <v>Macrodon ancylodonBangamary</v>
      </c>
    </row>
    <row r="2481" spans="1:9" x14ac:dyDescent="0.35">
      <c r="A2481">
        <v>35</v>
      </c>
      <c r="B2481">
        <v>2018</v>
      </c>
      <c r="C2481">
        <v>4</v>
      </c>
      <c r="D2481" t="s">
        <v>175</v>
      </c>
      <c r="E2481" t="s">
        <v>349</v>
      </c>
      <c r="F2481" t="s">
        <v>40</v>
      </c>
      <c r="G2481" t="s">
        <v>35</v>
      </c>
      <c r="H2481" s="4">
        <v>23</v>
      </c>
      <c r="I2481" t="str">
        <f t="shared" si="38"/>
        <v>Macrodon ancylodonBangamary</v>
      </c>
    </row>
    <row r="2482" spans="1:9" x14ac:dyDescent="0.35">
      <c r="A2482">
        <v>35</v>
      </c>
      <c r="B2482">
        <v>2018</v>
      </c>
      <c r="C2482">
        <v>4</v>
      </c>
      <c r="D2482" t="s">
        <v>175</v>
      </c>
      <c r="E2482" t="s">
        <v>349</v>
      </c>
      <c r="F2482" t="s">
        <v>40</v>
      </c>
      <c r="G2482" t="s">
        <v>35</v>
      </c>
      <c r="H2482" s="4">
        <v>23</v>
      </c>
      <c r="I2482" t="str">
        <f t="shared" si="38"/>
        <v>Macrodon ancylodonBangamary</v>
      </c>
    </row>
    <row r="2483" spans="1:9" x14ac:dyDescent="0.35">
      <c r="A2483">
        <v>35</v>
      </c>
      <c r="B2483">
        <v>2018</v>
      </c>
      <c r="C2483">
        <v>4</v>
      </c>
      <c r="D2483" t="s">
        <v>175</v>
      </c>
      <c r="E2483" t="s">
        <v>349</v>
      </c>
      <c r="F2483" t="s">
        <v>40</v>
      </c>
      <c r="G2483" t="s">
        <v>35</v>
      </c>
      <c r="H2483" s="4">
        <v>17</v>
      </c>
      <c r="I2483" t="str">
        <f t="shared" si="38"/>
        <v>Macrodon ancylodonBangamary</v>
      </c>
    </row>
    <row r="2484" spans="1:9" x14ac:dyDescent="0.35">
      <c r="A2484">
        <v>35</v>
      </c>
      <c r="B2484">
        <v>2018</v>
      </c>
      <c r="C2484">
        <v>4</v>
      </c>
      <c r="D2484" t="s">
        <v>175</v>
      </c>
      <c r="E2484" t="s">
        <v>349</v>
      </c>
      <c r="F2484" t="s">
        <v>40</v>
      </c>
      <c r="G2484" t="s">
        <v>35</v>
      </c>
      <c r="H2484" s="4">
        <v>19</v>
      </c>
      <c r="I2484" t="str">
        <f t="shared" si="38"/>
        <v>Macrodon ancylodonBangamary</v>
      </c>
    </row>
    <row r="2485" spans="1:9" x14ac:dyDescent="0.35">
      <c r="A2485">
        <v>35</v>
      </c>
      <c r="B2485">
        <v>2018</v>
      </c>
      <c r="C2485">
        <v>4</v>
      </c>
      <c r="D2485" t="s">
        <v>175</v>
      </c>
      <c r="E2485" t="s">
        <v>349</v>
      </c>
      <c r="F2485" t="s">
        <v>40</v>
      </c>
      <c r="G2485" t="s">
        <v>35</v>
      </c>
      <c r="H2485" s="4">
        <v>22</v>
      </c>
      <c r="I2485" t="str">
        <f t="shared" si="38"/>
        <v>Macrodon ancylodonBangamary</v>
      </c>
    </row>
    <row r="2486" spans="1:9" x14ac:dyDescent="0.35">
      <c r="A2486">
        <v>35</v>
      </c>
      <c r="B2486">
        <v>2018</v>
      </c>
      <c r="C2486">
        <v>4</v>
      </c>
      <c r="D2486" t="s">
        <v>175</v>
      </c>
      <c r="E2486" t="s">
        <v>349</v>
      </c>
      <c r="F2486" t="s">
        <v>40</v>
      </c>
      <c r="G2486" t="s">
        <v>35</v>
      </c>
      <c r="H2486" s="4">
        <v>21</v>
      </c>
      <c r="I2486" t="str">
        <f t="shared" si="38"/>
        <v>Macrodon ancylodonBangamary</v>
      </c>
    </row>
    <row r="2487" spans="1:9" x14ac:dyDescent="0.35">
      <c r="A2487">
        <v>35</v>
      </c>
      <c r="B2487">
        <v>2018</v>
      </c>
      <c r="C2487">
        <v>4</v>
      </c>
      <c r="D2487" t="s">
        <v>175</v>
      </c>
      <c r="E2487" t="s">
        <v>349</v>
      </c>
      <c r="F2487" t="s">
        <v>40</v>
      </c>
      <c r="G2487" t="s">
        <v>35</v>
      </c>
      <c r="H2487" s="4">
        <v>19</v>
      </c>
      <c r="I2487" t="str">
        <f t="shared" si="38"/>
        <v>Macrodon ancylodonBangamary</v>
      </c>
    </row>
    <row r="2488" spans="1:9" x14ac:dyDescent="0.35">
      <c r="A2488">
        <v>35</v>
      </c>
      <c r="B2488">
        <v>2018</v>
      </c>
      <c r="C2488">
        <v>4</v>
      </c>
      <c r="D2488" t="s">
        <v>175</v>
      </c>
      <c r="E2488" t="s">
        <v>349</v>
      </c>
      <c r="F2488" t="s">
        <v>40</v>
      </c>
      <c r="G2488" t="s">
        <v>35</v>
      </c>
      <c r="H2488" s="4">
        <v>18</v>
      </c>
      <c r="I2488" t="str">
        <f t="shared" si="38"/>
        <v>Macrodon ancylodonBangamary</v>
      </c>
    </row>
    <row r="2489" spans="1:9" x14ac:dyDescent="0.35">
      <c r="A2489">
        <v>35</v>
      </c>
      <c r="B2489">
        <v>2018</v>
      </c>
      <c r="C2489">
        <v>4</v>
      </c>
      <c r="D2489" t="s">
        <v>175</v>
      </c>
      <c r="E2489" t="s">
        <v>349</v>
      </c>
      <c r="F2489" t="s">
        <v>40</v>
      </c>
      <c r="G2489" t="s">
        <v>35</v>
      </c>
      <c r="H2489" s="4">
        <v>21</v>
      </c>
      <c r="I2489" t="str">
        <f t="shared" si="38"/>
        <v>Macrodon ancylodonBangamary</v>
      </c>
    </row>
    <row r="2490" spans="1:9" x14ac:dyDescent="0.35">
      <c r="A2490">
        <v>35</v>
      </c>
      <c r="B2490">
        <v>2018</v>
      </c>
      <c r="C2490">
        <v>4</v>
      </c>
      <c r="D2490" t="s">
        <v>175</v>
      </c>
      <c r="E2490" t="s">
        <v>349</v>
      </c>
      <c r="F2490" t="s">
        <v>40</v>
      </c>
      <c r="G2490" t="s">
        <v>35</v>
      </c>
      <c r="H2490" s="4">
        <v>21</v>
      </c>
      <c r="I2490" t="str">
        <f t="shared" si="38"/>
        <v>Macrodon ancylodonBangamary</v>
      </c>
    </row>
    <row r="2491" spans="1:9" x14ac:dyDescent="0.35">
      <c r="A2491">
        <v>35</v>
      </c>
      <c r="B2491">
        <v>2018</v>
      </c>
      <c r="C2491">
        <v>4</v>
      </c>
      <c r="D2491" t="s">
        <v>175</v>
      </c>
      <c r="E2491" t="s">
        <v>349</v>
      </c>
      <c r="F2491" t="s">
        <v>40</v>
      </c>
      <c r="G2491" t="s">
        <v>35</v>
      </c>
      <c r="H2491" s="4">
        <v>16</v>
      </c>
      <c r="I2491" t="str">
        <f t="shared" si="38"/>
        <v>Macrodon ancylodonBangamary</v>
      </c>
    </row>
    <row r="2492" spans="1:9" x14ac:dyDescent="0.35">
      <c r="A2492">
        <v>35</v>
      </c>
      <c r="B2492">
        <v>2018</v>
      </c>
      <c r="C2492">
        <v>4</v>
      </c>
      <c r="D2492" t="s">
        <v>175</v>
      </c>
      <c r="E2492" t="s">
        <v>349</v>
      </c>
      <c r="F2492" t="s">
        <v>40</v>
      </c>
      <c r="G2492" t="s">
        <v>35</v>
      </c>
      <c r="H2492" s="4">
        <v>19</v>
      </c>
      <c r="I2492" t="str">
        <f t="shared" si="38"/>
        <v>Macrodon ancylodonBangamary</v>
      </c>
    </row>
    <row r="2493" spans="1:9" x14ac:dyDescent="0.35">
      <c r="A2493">
        <v>35</v>
      </c>
      <c r="B2493">
        <v>2018</v>
      </c>
      <c r="C2493">
        <v>4</v>
      </c>
      <c r="D2493" t="s">
        <v>175</v>
      </c>
      <c r="E2493" t="s">
        <v>349</v>
      </c>
      <c r="F2493" t="s">
        <v>40</v>
      </c>
      <c r="G2493" t="s">
        <v>35</v>
      </c>
      <c r="H2493" s="4">
        <v>24</v>
      </c>
      <c r="I2493" t="str">
        <f t="shared" si="38"/>
        <v>Macrodon ancylodonBangamary</v>
      </c>
    </row>
    <row r="2494" spans="1:9" x14ac:dyDescent="0.35">
      <c r="A2494">
        <v>35</v>
      </c>
      <c r="B2494">
        <v>2018</v>
      </c>
      <c r="C2494">
        <v>4</v>
      </c>
      <c r="D2494" t="s">
        <v>175</v>
      </c>
      <c r="E2494" t="s">
        <v>349</v>
      </c>
      <c r="F2494" t="s">
        <v>40</v>
      </c>
      <c r="G2494" t="s">
        <v>35</v>
      </c>
      <c r="H2494" s="4">
        <v>21</v>
      </c>
      <c r="I2494" t="str">
        <f t="shared" si="38"/>
        <v>Macrodon ancylodonBangamary</v>
      </c>
    </row>
    <row r="2495" spans="1:9" x14ac:dyDescent="0.35">
      <c r="A2495">
        <v>35</v>
      </c>
      <c r="B2495">
        <v>2018</v>
      </c>
      <c r="C2495">
        <v>4</v>
      </c>
      <c r="D2495" t="s">
        <v>175</v>
      </c>
      <c r="E2495" t="s">
        <v>349</v>
      </c>
      <c r="F2495" t="s">
        <v>40</v>
      </c>
      <c r="G2495" t="s">
        <v>35</v>
      </c>
      <c r="H2495" s="4">
        <v>19</v>
      </c>
      <c r="I2495" t="str">
        <f t="shared" si="38"/>
        <v>Macrodon ancylodonBangamary</v>
      </c>
    </row>
    <row r="2496" spans="1:9" x14ac:dyDescent="0.35">
      <c r="A2496">
        <v>35</v>
      </c>
      <c r="B2496">
        <v>2018</v>
      </c>
      <c r="C2496">
        <v>4</v>
      </c>
      <c r="D2496" t="s">
        <v>175</v>
      </c>
      <c r="E2496" t="s">
        <v>349</v>
      </c>
      <c r="F2496" t="s">
        <v>40</v>
      </c>
      <c r="G2496" t="s">
        <v>35</v>
      </c>
      <c r="H2496" s="4">
        <v>17</v>
      </c>
      <c r="I2496" t="str">
        <f t="shared" si="38"/>
        <v>Macrodon ancylodonBangamary</v>
      </c>
    </row>
    <row r="2497" spans="1:9" x14ac:dyDescent="0.35">
      <c r="A2497">
        <v>35</v>
      </c>
      <c r="B2497">
        <v>2018</v>
      </c>
      <c r="C2497">
        <v>4</v>
      </c>
      <c r="D2497" t="s">
        <v>175</v>
      </c>
      <c r="E2497" t="s">
        <v>349</v>
      </c>
      <c r="F2497" t="s">
        <v>40</v>
      </c>
      <c r="G2497" t="s">
        <v>35</v>
      </c>
      <c r="H2497" s="4">
        <v>17</v>
      </c>
      <c r="I2497" t="str">
        <f t="shared" si="38"/>
        <v>Macrodon ancylodonBangamary</v>
      </c>
    </row>
    <row r="2498" spans="1:9" x14ac:dyDescent="0.35">
      <c r="A2498">
        <v>35</v>
      </c>
      <c r="B2498">
        <v>2018</v>
      </c>
      <c r="C2498">
        <v>4</v>
      </c>
      <c r="D2498" t="s">
        <v>175</v>
      </c>
      <c r="E2498" t="s">
        <v>349</v>
      </c>
      <c r="F2498" t="s">
        <v>40</v>
      </c>
      <c r="G2498" t="s">
        <v>35</v>
      </c>
      <c r="H2498" s="4">
        <v>20</v>
      </c>
      <c r="I2498" t="str">
        <f t="shared" ref="I2498:I2561" si="39">CONCATENATE(F2498,G2498)</f>
        <v>Macrodon ancylodonBangamary</v>
      </c>
    </row>
    <row r="2499" spans="1:9" x14ac:dyDescent="0.35">
      <c r="A2499">
        <v>35</v>
      </c>
      <c r="B2499">
        <v>2018</v>
      </c>
      <c r="C2499">
        <v>4</v>
      </c>
      <c r="D2499" t="s">
        <v>175</v>
      </c>
      <c r="E2499" t="s">
        <v>349</v>
      </c>
      <c r="F2499" t="s">
        <v>40</v>
      </c>
      <c r="G2499" t="s">
        <v>35</v>
      </c>
      <c r="H2499" s="4">
        <v>18</v>
      </c>
      <c r="I2499" t="str">
        <f t="shared" si="39"/>
        <v>Macrodon ancylodonBangamary</v>
      </c>
    </row>
    <row r="2500" spans="1:9" x14ac:dyDescent="0.35">
      <c r="A2500">
        <v>35</v>
      </c>
      <c r="B2500">
        <v>2018</v>
      </c>
      <c r="C2500">
        <v>4</v>
      </c>
      <c r="D2500" t="s">
        <v>175</v>
      </c>
      <c r="E2500" t="s">
        <v>349</v>
      </c>
      <c r="F2500" t="s">
        <v>40</v>
      </c>
      <c r="G2500" t="s">
        <v>35</v>
      </c>
      <c r="H2500" s="4">
        <v>20</v>
      </c>
      <c r="I2500" t="str">
        <f t="shared" si="39"/>
        <v>Macrodon ancylodonBangamary</v>
      </c>
    </row>
    <row r="2501" spans="1:9" x14ac:dyDescent="0.35">
      <c r="A2501">
        <v>35</v>
      </c>
      <c r="B2501">
        <v>2018</v>
      </c>
      <c r="C2501">
        <v>4</v>
      </c>
      <c r="D2501" t="s">
        <v>175</v>
      </c>
      <c r="E2501" t="s">
        <v>349</v>
      </c>
      <c r="F2501" t="s">
        <v>40</v>
      </c>
      <c r="G2501" t="s">
        <v>35</v>
      </c>
      <c r="H2501" s="4">
        <v>21</v>
      </c>
      <c r="I2501" t="str">
        <f t="shared" si="39"/>
        <v>Macrodon ancylodonBangamary</v>
      </c>
    </row>
    <row r="2502" spans="1:9" x14ac:dyDescent="0.35">
      <c r="A2502">
        <v>35</v>
      </c>
      <c r="B2502">
        <v>2018</v>
      </c>
      <c r="C2502">
        <v>4</v>
      </c>
      <c r="D2502" t="s">
        <v>175</v>
      </c>
      <c r="E2502" t="s">
        <v>349</v>
      </c>
      <c r="F2502" t="s">
        <v>40</v>
      </c>
      <c r="G2502" t="s">
        <v>35</v>
      </c>
      <c r="H2502" s="4">
        <v>20</v>
      </c>
      <c r="I2502" t="str">
        <f t="shared" si="39"/>
        <v>Macrodon ancylodonBangamary</v>
      </c>
    </row>
    <row r="2503" spans="1:9" x14ac:dyDescent="0.35">
      <c r="A2503">
        <v>35</v>
      </c>
      <c r="B2503">
        <v>2018</v>
      </c>
      <c r="C2503">
        <v>4</v>
      </c>
      <c r="D2503" t="s">
        <v>175</v>
      </c>
      <c r="E2503" t="s">
        <v>349</v>
      </c>
      <c r="F2503" t="s">
        <v>40</v>
      </c>
      <c r="G2503" t="s">
        <v>35</v>
      </c>
      <c r="H2503" s="4">
        <v>15</v>
      </c>
      <c r="I2503" t="str">
        <f t="shared" si="39"/>
        <v>Macrodon ancylodonBangamary</v>
      </c>
    </row>
    <row r="2504" spans="1:9" x14ac:dyDescent="0.35">
      <c r="A2504">
        <v>35</v>
      </c>
      <c r="B2504">
        <v>2018</v>
      </c>
      <c r="C2504">
        <v>4</v>
      </c>
      <c r="D2504" t="s">
        <v>175</v>
      </c>
      <c r="E2504" t="s">
        <v>349</v>
      </c>
      <c r="F2504" t="s">
        <v>40</v>
      </c>
      <c r="G2504" t="s">
        <v>35</v>
      </c>
      <c r="H2504" s="4">
        <v>30</v>
      </c>
      <c r="I2504" t="str">
        <f t="shared" si="39"/>
        <v>Macrodon ancylodonBangamary</v>
      </c>
    </row>
    <row r="2505" spans="1:9" x14ac:dyDescent="0.35">
      <c r="A2505">
        <v>35</v>
      </c>
      <c r="B2505">
        <v>2018</v>
      </c>
      <c r="C2505">
        <v>4</v>
      </c>
      <c r="D2505" t="s">
        <v>175</v>
      </c>
      <c r="E2505" t="s">
        <v>349</v>
      </c>
      <c r="F2505" t="s">
        <v>58</v>
      </c>
      <c r="G2505" t="s">
        <v>59</v>
      </c>
      <c r="H2505" s="4">
        <v>16</v>
      </c>
      <c r="I2505" t="str">
        <f t="shared" si="39"/>
        <v>Stellifer rastriferRockhead</v>
      </c>
    </row>
    <row r="2506" spans="1:9" x14ac:dyDescent="0.35">
      <c r="A2506">
        <v>35</v>
      </c>
      <c r="B2506">
        <v>2018</v>
      </c>
      <c r="C2506">
        <v>4</v>
      </c>
      <c r="D2506" t="s">
        <v>175</v>
      </c>
      <c r="E2506" t="s">
        <v>349</v>
      </c>
      <c r="F2506" t="s">
        <v>58</v>
      </c>
      <c r="G2506" t="s">
        <v>59</v>
      </c>
      <c r="H2506" s="4">
        <v>10</v>
      </c>
      <c r="I2506" t="str">
        <f t="shared" si="39"/>
        <v>Stellifer rastriferRockhead</v>
      </c>
    </row>
    <row r="2507" spans="1:9" x14ac:dyDescent="0.35">
      <c r="A2507">
        <v>35</v>
      </c>
      <c r="B2507">
        <v>2018</v>
      </c>
      <c r="C2507">
        <v>4</v>
      </c>
      <c r="D2507" t="s">
        <v>175</v>
      </c>
      <c r="E2507" t="s">
        <v>349</v>
      </c>
      <c r="F2507" t="s">
        <v>58</v>
      </c>
      <c r="G2507" t="s">
        <v>59</v>
      </c>
      <c r="H2507" s="4">
        <v>9</v>
      </c>
      <c r="I2507" t="str">
        <f t="shared" si="39"/>
        <v>Stellifer rastriferRockhead</v>
      </c>
    </row>
    <row r="2508" spans="1:9" x14ac:dyDescent="0.35">
      <c r="A2508">
        <v>35</v>
      </c>
      <c r="B2508">
        <v>2018</v>
      </c>
      <c r="C2508">
        <v>4</v>
      </c>
      <c r="D2508" t="s">
        <v>175</v>
      </c>
      <c r="E2508" t="s">
        <v>349</v>
      </c>
      <c r="F2508" t="s">
        <v>58</v>
      </c>
      <c r="G2508" t="s">
        <v>59</v>
      </c>
      <c r="H2508" s="4">
        <v>17</v>
      </c>
      <c r="I2508" t="str">
        <f t="shared" si="39"/>
        <v>Stellifer rastriferRockhead</v>
      </c>
    </row>
    <row r="2509" spans="1:9" x14ac:dyDescent="0.35">
      <c r="A2509">
        <v>35</v>
      </c>
      <c r="B2509">
        <v>2018</v>
      </c>
      <c r="C2509">
        <v>4</v>
      </c>
      <c r="D2509" t="s">
        <v>175</v>
      </c>
      <c r="E2509" t="s">
        <v>349</v>
      </c>
      <c r="F2509" t="s">
        <v>58</v>
      </c>
      <c r="G2509" t="s">
        <v>59</v>
      </c>
      <c r="H2509" s="4">
        <v>11</v>
      </c>
      <c r="I2509" t="str">
        <f t="shared" si="39"/>
        <v>Stellifer rastriferRockhead</v>
      </c>
    </row>
    <row r="2510" spans="1:9" x14ac:dyDescent="0.35">
      <c r="A2510">
        <v>35</v>
      </c>
      <c r="B2510">
        <v>2018</v>
      </c>
      <c r="C2510">
        <v>4</v>
      </c>
      <c r="D2510" t="s">
        <v>175</v>
      </c>
      <c r="E2510" t="s">
        <v>349</v>
      </c>
      <c r="F2510" t="s">
        <v>58</v>
      </c>
      <c r="G2510" t="s">
        <v>59</v>
      </c>
      <c r="H2510" s="4">
        <v>9</v>
      </c>
      <c r="I2510" t="str">
        <f t="shared" si="39"/>
        <v>Stellifer rastriferRockhead</v>
      </c>
    </row>
    <row r="2511" spans="1:9" x14ac:dyDescent="0.35">
      <c r="A2511">
        <v>35</v>
      </c>
      <c r="B2511">
        <v>2018</v>
      </c>
      <c r="C2511">
        <v>4</v>
      </c>
      <c r="D2511" t="s">
        <v>175</v>
      </c>
      <c r="E2511" t="s">
        <v>349</v>
      </c>
      <c r="F2511" t="s">
        <v>58</v>
      </c>
      <c r="G2511" t="s">
        <v>59</v>
      </c>
      <c r="H2511" s="4">
        <v>10</v>
      </c>
      <c r="I2511" t="str">
        <f t="shared" si="39"/>
        <v>Stellifer rastriferRockhead</v>
      </c>
    </row>
    <row r="2512" spans="1:9" x14ac:dyDescent="0.35">
      <c r="A2512">
        <v>35</v>
      </c>
      <c r="B2512">
        <v>2018</v>
      </c>
      <c r="C2512">
        <v>4</v>
      </c>
      <c r="D2512" t="s">
        <v>175</v>
      </c>
      <c r="E2512" t="s">
        <v>349</v>
      </c>
      <c r="F2512" t="s">
        <v>58</v>
      </c>
      <c r="G2512" t="s">
        <v>59</v>
      </c>
      <c r="H2512" s="4">
        <v>12</v>
      </c>
      <c r="I2512" t="str">
        <f t="shared" si="39"/>
        <v>Stellifer rastriferRockhead</v>
      </c>
    </row>
    <row r="2513" spans="1:9" x14ac:dyDescent="0.35">
      <c r="A2513">
        <v>35</v>
      </c>
      <c r="B2513">
        <v>2018</v>
      </c>
      <c r="C2513">
        <v>4</v>
      </c>
      <c r="D2513" t="s">
        <v>175</v>
      </c>
      <c r="E2513" t="s">
        <v>349</v>
      </c>
      <c r="F2513" t="s">
        <v>58</v>
      </c>
      <c r="G2513" t="s">
        <v>59</v>
      </c>
      <c r="H2513" s="4">
        <v>14</v>
      </c>
      <c r="I2513" t="str">
        <f t="shared" si="39"/>
        <v>Stellifer rastriferRockhead</v>
      </c>
    </row>
    <row r="2514" spans="1:9" x14ac:dyDescent="0.35">
      <c r="A2514">
        <v>35</v>
      </c>
      <c r="B2514">
        <v>2018</v>
      </c>
      <c r="C2514">
        <v>4</v>
      </c>
      <c r="D2514" t="s">
        <v>175</v>
      </c>
      <c r="E2514" t="s">
        <v>349</v>
      </c>
      <c r="F2514" t="s">
        <v>58</v>
      </c>
      <c r="G2514" t="s">
        <v>59</v>
      </c>
      <c r="H2514" s="4">
        <v>13</v>
      </c>
      <c r="I2514" t="str">
        <f t="shared" si="39"/>
        <v>Stellifer rastriferRockhead</v>
      </c>
    </row>
    <row r="2515" spans="1:9" x14ac:dyDescent="0.35">
      <c r="A2515">
        <v>35</v>
      </c>
      <c r="B2515">
        <v>2018</v>
      </c>
      <c r="C2515">
        <v>4</v>
      </c>
      <c r="D2515" t="s">
        <v>175</v>
      </c>
      <c r="E2515" t="s">
        <v>349</v>
      </c>
      <c r="F2515" t="s">
        <v>58</v>
      </c>
      <c r="G2515" t="s">
        <v>59</v>
      </c>
      <c r="H2515" s="4">
        <v>10</v>
      </c>
      <c r="I2515" t="str">
        <f t="shared" si="39"/>
        <v>Stellifer rastriferRockhead</v>
      </c>
    </row>
    <row r="2516" spans="1:9" x14ac:dyDescent="0.35">
      <c r="A2516">
        <v>35</v>
      </c>
      <c r="B2516">
        <v>2018</v>
      </c>
      <c r="C2516">
        <v>4</v>
      </c>
      <c r="D2516" t="s">
        <v>175</v>
      </c>
      <c r="E2516" t="s">
        <v>349</v>
      </c>
      <c r="F2516" t="s">
        <v>58</v>
      </c>
      <c r="G2516" t="s">
        <v>59</v>
      </c>
      <c r="H2516" s="4">
        <v>7</v>
      </c>
      <c r="I2516" t="str">
        <f t="shared" si="39"/>
        <v>Stellifer rastriferRockhead</v>
      </c>
    </row>
    <row r="2517" spans="1:9" x14ac:dyDescent="0.35">
      <c r="A2517">
        <v>35</v>
      </c>
      <c r="B2517">
        <v>2018</v>
      </c>
      <c r="C2517">
        <v>4</v>
      </c>
      <c r="D2517" t="s">
        <v>175</v>
      </c>
      <c r="E2517" t="s">
        <v>349</v>
      </c>
      <c r="F2517" t="s">
        <v>58</v>
      </c>
      <c r="G2517" t="s">
        <v>59</v>
      </c>
      <c r="H2517" s="4">
        <v>10</v>
      </c>
      <c r="I2517" t="str">
        <f t="shared" si="39"/>
        <v>Stellifer rastriferRockhead</v>
      </c>
    </row>
    <row r="2518" spans="1:9" x14ac:dyDescent="0.35">
      <c r="A2518">
        <v>35</v>
      </c>
      <c r="B2518">
        <v>2018</v>
      </c>
      <c r="C2518">
        <v>4</v>
      </c>
      <c r="D2518" t="s">
        <v>175</v>
      </c>
      <c r="E2518" t="s">
        <v>349</v>
      </c>
      <c r="F2518" t="s">
        <v>58</v>
      </c>
      <c r="G2518" t="s">
        <v>59</v>
      </c>
      <c r="H2518" s="4">
        <v>14</v>
      </c>
      <c r="I2518" t="str">
        <f t="shared" si="39"/>
        <v>Stellifer rastriferRockhead</v>
      </c>
    </row>
    <row r="2519" spans="1:9" x14ac:dyDescent="0.35">
      <c r="A2519">
        <v>35</v>
      </c>
      <c r="B2519">
        <v>2018</v>
      </c>
      <c r="C2519">
        <v>4</v>
      </c>
      <c r="D2519" t="s">
        <v>175</v>
      </c>
      <c r="E2519" t="s">
        <v>349</v>
      </c>
      <c r="F2519" t="s">
        <v>58</v>
      </c>
      <c r="G2519" t="s">
        <v>59</v>
      </c>
      <c r="H2519" s="4">
        <v>14</v>
      </c>
      <c r="I2519" t="str">
        <f t="shared" si="39"/>
        <v>Stellifer rastriferRockhead</v>
      </c>
    </row>
    <row r="2520" spans="1:9" x14ac:dyDescent="0.35">
      <c r="A2520">
        <v>35</v>
      </c>
      <c r="B2520">
        <v>2018</v>
      </c>
      <c r="C2520">
        <v>4</v>
      </c>
      <c r="D2520" t="s">
        <v>175</v>
      </c>
      <c r="E2520" t="s">
        <v>349</v>
      </c>
      <c r="F2520" t="s">
        <v>58</v>
      </c>
      <c r="G2520" t="s">
        <v>59</v>
      </c>
      <c r="H2520" s="4">
        <v>14</v>
      </c>
      <c r="I2520" t="str">
        <f t="shared" si="39"/>
        <v>Stellifer rastriferRockhead</v>
      </c>
    </row>
    <row r="2521" spans="1:9" x14ac:dyDescent="0.35">
      <c r="A2521">
        <v>35</v>
      </c>
      <c r="B2521">
        <v>2018</v>
      </c>
      <c r="C2521">
        <v>4</v>
      </c>
      <c r="D2521" t="s">
        <v>175</v>
      </c>
      <c r="E2521" t="s">
        <v>349</v>
      </c>
      <c r="F2521" t="s">
        <v>58</v>
      </c>
      <c r="G2521" t="s">
        <v>59</v>
      </c>
      <c r="H2521" s="4">
        <v>16</v>
      </c>
      <c r="I2521" t="str">
        <f t="shared" si="39"/>
        <v>Stellifer rastriferRockhead</v>
      </c>
    </row>
    <row r="2522" spans="1:9" x14ac:dyDescent="0.35">
      <c r="A2522">
        <v>35</v>
      </c>
      <c r="B2522">
        <v>2018</v>
      </c>
      <c r="C2522">
        <v>4</v>
      </c>
      <c r="D2522" t="s">
        <v>175</v>
      </c>
      <c r="E2522" t="s">
        <v>349</v>
      </c>
      <c r="F2522" t="s">
        <v>58</v>
      </c>
      <c r="G2522" t="s">
        <v>59</v>
      </c>
      <c r="H2522" s="4">
        <v>14</v>
      </c>
      <c r="I2522" t="str">
        <f t="shared" si="39"/>
        <v>Stellifer rastriferRockhead</v>
      </c>
    </row>
    <row r="2523" spans="1:9" x14ac:dyDescent="0.35">
      <c r="A2523">
        <v>35</v>
      </c>
      <c r="B2523">
        <v>2018</v>
      </c>
      <c r="C2523">
        <v>4</v>
      </c>
      <c r="D2523" t="s">
        <v>175</v>
      </c>
      <c r="E2523" t="s">
        <v>349</v>
      </c>
      <c r="F2523" t="s">
        <v>58</v>
      </c>
      <c r="G2523" t="s">
        <v>59</v>
      </c>
      <c r="H2523" s="4">
        <v>18</v>
      </c>
      <c r="I2523" t="str">
        <f t="shared" si="39"/>
        <v>Stellifer rastriferRockhead</v>
      </c>
    </row>
    <row r="2524" spans="1:9" x14ac:dyDescent="0.35">
      <c r="A2524">
        <v>35</v>
      </c>
      <c r="B2524">
        <v>2018</v>
      </c>
      <c r="C2524">
        <v>4</v>
      </c>
      <c r="D2524" t="s">
        <v>175</v>
      </c>
      <c r="E2524" t="s">
        <v>349</v>
      </c>
      <c r="F2524" t="s">
        <v>58</v>
      </c>
      <c r="G2524" t="s">
        <v>59</v>
      </c>
      <c r="H2524" s="4">
        <v>13</v>
      </c>
      <c r="I2524" t="str">
        <f t="shared" si="39"/>
        <v>Stellifer rastriferRockhead</v>
      </c>
    </row>
    <row r="2525" spans="1:9" x14ac:dyDescent="0.35">
      <c r="A2525">
        <v>35</v>
      </c>
      <c r="B2525">
        <v>2018</v>
      </c>
      <c r="C2525">
        <v>4</v>
      </c>
      <c r="D2525" t="s">
        <v>175</v>
      </c>
      <c r="E2525" t="s">
        <v>349</v>
      </c>
      <c r="F2525" t="s">
        <v>58</v>
      </c>
      <c r="G2525" t="s">
        <v>59</v>
      </c>
      <c r="H2525" s="4">
        <v>9</v>
      </c>
      <c r="I2525" t="str">
        <f t="shared" si="39"/>
        <v>Stellifer rastriferRockhead</v>
      </c>
    </row>
    <row r="2526" spans="1:9" x14ac:dyDescent="0.35">
      <c r="A2526">
        <v>35</v>
      </c>
      <c r="B2526">
        <v>2018</v>
      </c>
      <c r="C2526">
        <v>4</v>
      </c>
      <c r="D2526" t="s">
        <v>175</v>
      </c>
      <c r="E2526" t="s">
        <v>349</v>
      </c>
      <c r="F2526" t="s">
        <v>58</v>
      </c>
      <c r="G2526" t="s">
        <v>59</v>
      </c>
      <c r="H2526" s="4">
        <v>9</v>
      </c>
      <c r="I2526" t="str">
        <f t="shared" si="39"/>
        <v>Stellifer rastriferRockhead</v>
      </c>
    </row>
    <row r="2527" spans="1:9" x14ac:dyDescent="0.35">
      <c r="A2527">
        <v>35</v>
      </c>
      <c r="B2527">
        <v>2018</v>
      </c>
      <c r="C2527">
        <v>4</v>
      </c>
      <c r="D2527" t="s">
        <v>175</v>
      </c>
      <c r="E2527" t="s">
        <v>349</v>
      </c>
      <c r="F2527" t="s">
        <v>58</v>
      </c>
      <c r="G2527" t="s">
        <v>59</v>
      </c>
      <c r="H2527" s="4">
        <v>15</v>
      </c>
      <c r="I2527" t="str">
        <f t="shared" si="39"/>
        <v>Stellifer rastriferRockhead</v>
      </c>
    </row>
    <row r="2528" spans="1:9" x14ac:dyDescent="0.35">
      <c r="A2528">
        <v>35</v>
      </c>
      <c r="B2528">
        <v>2018</v>
      </c>
      <c r="C2528">
        <v>4</v>
      </c>
      <c r="D2528" t="s">
        <v>175</v>
      </c>
      <c r="E2528" t="s">
        <v>349</v>
      </c>
      <c r="F2528" t="s">
        <v>58</v>
      </c>
      <c r="G2528" t="s">
        <v>59</v>
      </c>
      <c r="H2528" s="4">
        <v>12</v>
      </c>
      <c r="I2528" t="str">
        <f t="shared" si="39"/>
        <v>Stellifer rastriferRockhead</v>
      </c>
    </row>
    <row r="2529" spans="1:9" x14ac:dyDescent="0.35">
      <c r="A2529">
        <v>35</v>
      </c>
      <c r="B2529">
        <v>2018</v>
      </c>
      <c r="C2529">
        <v>4</v>
      </c>
      <c r="D2529" t="s">
        <v>175</v>
      </c>
      <c r="E2529" t="s">
        <v>349</v>
      </c>
      <c r="F2529" t="s">
        <v>58</v>
      </c>
      <c r="G2529" t="s">
        <v>59</v>
      </c>
      <c r="H2529" s="4">
        <v>13</v>
      </c>
      <c r="I2529" t="str">
        <f t="shared" si="39"/>
        <v>Stellifer rastriferRockhead</v>
      </c>
    </row>
    <row r="2530" spans="1:9" x14ac:dyDescent="0.35">
      <c r="A2530">
        <v>35</v>
      </c>
      <c r="B2530">
        <v>2018</v>
      </c>
      <c r="C2530">
        <v>4</v>
      </c>
      <c r="D2530" t="s">
        <v>175</v>
      </c>
      <c r="E2530" t="s">
        <v>349</v>
      </c>
      <c r="F2530" t="s">
        <v>58</v>
      </c>
      <c r="G2530" t="s">
        <v>59</v>
      </c>
      <c r="H2530" s="4">
        <v>10</v>
      </c>
      <c r="I2530" t="str">
        <f t="shared" si="39"/>
        <v>Stellifer rastriferRockhead</v>
      </c>
    </row>
    <row r="2531" spans="1:9" x14ac:dyDescent="0.35">
      <c r="A2531">
        <v>35</v>
      </c>
      <c r="B2531">
        <v>2018</v>
      </c>
      <c r="C2531">
        <v>4</v>
      </c>
      <c r="D2531" t="s">
        <v>175</v>
      </c>
      <c r="E2531" t="s">
        <v>349</v>
      </c>
      <c r="F2531" t="s">
        <v>58</v>
      </c>
      <c r="G2531" t="s">
        <v>59</v>
      </c>
      <c r="H2531" s="4">
        <v>12</v>
      </c>
      <c r="I2531" t="str">
        <f t="shared" si="39"/>
        <v>Stellifer rastriferRockhead</v>
      </c>
    </row>
    <row r="2532" spans="1:9" x14ac:dyDescent="0.35">
      <c r="A2532">
        <v>35</v>
      </c>
      <c r="B2532">
        <v>2018</v>
      </c>
      <c r="C2532">
        <v>4</v>
      </c>
      <c r="D2532" t="s">
        <v>175</v>
      </c>
      <c r="E2532" t="s">
        <v>349</v>
      </c>
      <c r="F2532" t="s">
        <v>58</v>
      </c>
      <c r="G2532" t="s">
        <v>59</v>
      </c>
      <c r="H2532" s="4">
        <v>10</v>
      </c>
      <c r="I2532" t="str">
        <f t="shared" si="39"/>
        <v>Stellifer rastriferRockhead</v>
      </c>
    </row>
    <row r="2533" spans="1:9" x14ac:dyDescent="0.35">
      <c r="A2533">
        <v>35</v>
      </c>
      <c r="B2533">
        <v>2018</v>
      </c>
      <c r="C2533">
        <v>4</v>
      </c>
      <c r="D2533" t="s">
        <v>175</v>
      </c>
      <c r="E2533" t="s">
        <v>349</v>
      </c>
      <c r="F2533" t="s">
        <v>58</v>
      </c>
      <c r="G2533" t="s">
        <v>59</v>
      </c>
      <c r="H2533" s="4">
        <v>13</v>
      </c>
      <c r="I2533" t="str">
        <f t="shared" si="39"/>
        <v>Stellifer rastriferRockhead</v>
      </c>
    </row>
    <row r="2534" spans="1:9" x14ac:dyDescent="0.35">
      <c r="A2534">
        <v>35</v>
      </c>
      <c r="B2534">
        <v>2018</v>
      </c>
      <c r="C2534">
        <v>4</v>
      </c>
      <c r="D2534" t="s">
        <v>175</v>
      </c>
      <c r="E2534" t="s">
        <v>349</v>
      </c>
      <c r="F2534" t="s">
        <v>58</v>
      </c>
      <c r="G2534" t="s">
        <v>59</v>
      </c>
      <c r="H2534" s="4">
        <v>10</v>
      </c>
      <c r="I2534" t="str">
        <f t="shared" si="39"/>
        <v>Stellifer rastriferRockhead</v>
      </c>
    </row>
    <row r="2535" spans="1:9" x14ac:dyDescent="0.35">
      <c r="A2535">
        <v>35</v>
      </c>
      <c r="B2535">
        <v>2018</v>
      </c>
      <c r="C2535">
        <v>4</v>
      </c>
      <c r="D2535" t="s">
        <v>175</v>
      </c>
      <c r="E2535" t="s">
        <v>349</v>
      </c>
      <c r="F2535" t="s">
        <v>6</v>
      </c>
      <c r="G2535" t="s">
        <v>37</v>
      </c>
      <c r="H2535" s="4">
        <v>11</v>
      </c>
      <c r="I2535" t="str">
        <f t="shared" si="39"/>
        <v>Symphurus plagusiaTongue fish</v>
      </c>
    </row>
    <row r="2536" spans="1:9" x14ac:dyDescent="0.35">
      <c r="A2536">
        <v>35</v>
      </c>
      <c r="B2536">
        <v>2018</v>
      </c>
      <c r="C2536">
        <v>4</v>
      </c>
      <c r="D2536" t="s">
        <v>175</v>
      </c>
      <c r="E2536" t="s">
        <v>349</v>
      </c>
      <c r="F2536" t="s">
        <v>6</v>
      </c>
      <c r="G2536" t="s">
        <v>37</v>
      </c>
      <c r="H2536" s="4">
        <v>11</v>
      </c>
      <c r="I2536" t="str">
        <f t="shared" si="39"/>
        <v>Symphurus plagusiaTongue fish</v>
      </c>
    </row>
    <row r="2537" spans="1:9" x14ac:dyDescent="0.35">
      <c r="A2537">
        <v>35</v>
      </c>
      <c r="B2537">
        <v>2018</v>
      </c>
      <c r="C2537">
        <v>4</v>
      </c>
      <c r="D2537" t="s">
        <v>175</v>
      </c>
      <c r="E2537" t="s">
        <v>349</v>
      </c>
      <c r="F2537" t="s">
        <v>6</v>
      </c>
      <c r="G2537" t="s">
        <v>37</v>
      </c>
      <c r="H2537" s="4">
        <v>12</v>
      </c>
      <c r="I2537" t="str">
        <f t="shared" si="39"/>
        <v>Symphurus plagusiaTongue fish</v>
      </c>
    </row>
    <row r="2538" spans="1:9" x14ac:dyDescent="0.35">
      <c r="A2538">
        <v>35</v>
      </c>
      <c r="B2538">
        <v>2018</v>
      </c>
      <c r="C2538">
        <v>4</v>
      </c>
      <c r="D2538" t="s">
        <v>175</v>
      </c>
      <c r="E2538" t="s">
        <v>349</v>
      </c>
      <c r="F2538" t="s">
        <v>6</v>
      </c>
      <c r="G2538" t="s">
        <v>37</v>
      </c>
      <c r="H2538" s="4">
        <v>12</v>
      </c>
      <c r="I2538" t="str">
        <f t="shared" si="39"/>
        <v>Symphurus plagusiaTongue fish</v>
      </c>
    </row>
    <row r="2539" spans="1:9" x14ac:dyDescent="0.35">
      <c r="A2539">
        <v>35</v>
      </c>
      <c r="B2539">
        <v>2018</v>
      </c>
      <c r="C2539">
        <v>4</v>
      </c>
      <c r="D2539" t="s">
        <v>175</v>
      </c>
      <c r="E2539" t="s">
        <v>349</v>
      </c>
      <c r="F2539" t="s">
        <v>6</v>
      </c>
      <c r="G2539" t="s">
        <v>37</v>
      </c>
      <c r="H2539" s="4">
        <v>11</v>
      </c>
      <c r="I2539" t="str">
        <f t="shared" si="39"/>
        <v>Symphurus plagusiaTongue fish</v>
      </c>
    </row>
    <row r="2540" spans="1:9" x14ac:dyDescent="0.35">
      <c r="A2540">
        <v>35</v>
      </c>
      <c r="B2540">
        <v>2018</v>
      </c>
      <c r="C2540">
        <v>4</v>
      </c>
      <c r="D2540" t="s">
        <v>175</v>
      </c>
      <c r="E2540" t="s">
        <v>349</v>
      </c>
      <c r="F2540" t="s">
        <v>6</v>
      </c>
      <c r="G2540" t="s">
        <v>37</v>
      </c>
      <c r="H2540" s="4">
        <v>14</v>
      </c>
      <c r="I2540" t="str">
        <f t="shared" si="39"/>
        <v>Symphurus plagusiaTongue fish</v>
      </c>
    </row>
    <row r="2541" spans="1:9" x14ac:dyDescent="0.35">
      <c r="A2541">
        <v>35</v>
      </c>
      <c r="B2541">
        <v>2018</v>
      </c>
      <c r="C2541">
        <v>4</v>
      </c>
      <c r="D2541" t="s">
        <v>175</v>
      </c>
      <c r="E2541" t="s">
        <v>349</v>
      </c>
      <c r="F2541" t="s">
        <v>6</v>
      </c>
      <c r="G2541" t="s">
        <v>37</v>
      </c>
      <c r="H2541" s="4">
        <v>13</v>
      </c>
      <c r="I2541" t="str">
        <f t="shared" si="39"/>
        <v>Symphurus plagusiaTongue fish</v>
      </c>
    </row>
    <row r="2542" spans="1:9" x14ac:dyDescent="0.35">
      <c r="A2542">
        <v>35</v>
      </c>
      <c r="B2542">
        <v>2018</v>
      </c>
      <c r="C2542">
        <v>4</v>
      </c>
      <c r="D2542" t="s">
        <v>175</v>
      </c>
      <c r="E2542" t="s">
        <v>349</v>
      </c>
      <c r="F2542" t="s">
        <v>6</v>
      </c>
      <c r="G2542" t="s">
        <v>37</v>
      </c>
      <c r="H2542" s="4">
        <v>15</v>
      </c>
      <c r="I2542" t="str">
        <f t="shared" si="39"/>
        <v>Symphurus plagusiaTongue fish</v>
      </c>
    </row>
    <row r="2543" spans="1:9" x14ac:dyDescent="0.35">
      <c r="A2543">
        <v>35</v>
      </c>
      <c r="B2543">
        <v>2018</v>
      </c>
      <c r="C2543">
        <v>4</v>
      </c>
      <c r="D2543" t="s">
        <v>175</v>
      </c>
      <c r="E2543" t="s">
        <v>349</v>
      </c>
      <c r="F2543" t="s">
        <v>6</v>
      </c>
      <c r="G2543" t="s">
        <v>37</v>
      </c>
      <c r="H2543" s="4">
        <v>13</v>
      </c>
      <c r="I2543" t="str">
        <f t="shared" si="39"/>
        <v>Symphurus plagusiaTongue fish</v>
      </c>
    </row>
    <row r="2544" spans="1:9" x14ac:dyDescent="0.35">
      <c r="A2544">
        <v>35</v>
      </c>
      <c r="B2544">
        <v>2018</v>
      </c>
      <c r="C2544">
        <v>4</v>
      </c>
      <c r="D2544" t="s">
        <v>175</v>
      </c>
      <c r="E2544" t="s">
        <v>349</v>
      </c>
      <c r="F2544" t="s">
        <v>6</v>
      </c>
      <c r="G2544" t="s">
        <v>37</v>
      </c>
      <c r="H2544" s="4">
        <v>11</v>
      </c>
      <c r="I2544" t="str">
        <f t="shared" si="39"/>
        <v>Symphurus plagusiaTongue fish</v>
      </c>
    </row>
    <row r="2545" spans="1:9" x14ac:dyDescent="0.35">
      <c r="A2545">
        <v>35</v>
      </c>
      <c r="B2545">
        <v>2018</v>
      </c>
      <c r="C2545">
        <v>4</v>
      </c>
      <c r="D2545" t="s">
        <v>175</v>
      </c>
      <c r="E2545" t="s">
        <v>349</v>
      </c>
      <c r="F2545" t="s">
        <v>6</v>
      </c>
      <c r="G2545" t="s">
        <v>37</v>
      </c>
      <c r="H2545" s="4">
        <v>11</v>
      </c>
      <c r="I2545" t="str">
        <f t="shared" si="39"/>
        <v>Symphurus plagusiaTongue fish</v>
      </c>
    </row>
    <row r="2546" spans="1:9" x14ac:dyDescent="0.35">
      <c r="A2546">
        <v>35</v>
      </c>
      <c r="B2546">
        <v>2018</v>
      </c>
      <c r="C2546">
        <v>4</v>
      </c>
      <c r="D2546" t="s">
        <v>175</v>
      </c>
      <c r="E2546" t="s">
        <v>349</v>
      </c>
      <c r="F2546" t="s">
        <v>6</v>
      </c>
      <c r="G2546" t="s">
        <v>37</v>
      </c>
      <c r="H2546" s="4">
        <v>12</v>
      </c>
      <c r="I2546" t="str">
        <f t="shared" si="39"/>
        <v>Symphurus plagusiaTongue fish</v>
      </c>
    </row>
    <row r="2547" spans="1:9" x14ac:dyDescent="0.35">
      <c r="A2547">
        <v>35</v>
      </c>
      <c r="B2547">
        <v>2018</v>
      </c>
      <c r="C2547">
        <v>4</v>
      </c>
      <c r="D2547" t="s">
        <v>175</v>
      </c>
      <c r="E2547" t="s">
        <v>349</v>
      </c>
      <c r="F2547" t="s">
        <v>6</v>
      </c>
      <c r="G2547" t="s">
        <v>37</v>
      </c>
      <c r="H2547" s="4">
        <v>10</v>
      </c>
      <c r="I2547" t="str">
        <f t="shared" si="39"/>
        <v>Symphurus plagusiaTongue fish</v>
      </c>
    </row>
    <row r="2548" spans="1:9" x14ac:dyDescent="0.35">
      <c r="A2548">
        <v>35</v>
      </c>
      <c r="B2548">
        <v>2018</v>
      </c>
      <c r="C2548">
        <v>4</v>
      </c>
      <c r="D2548" t="s">
        <v>175</v>
      </c>
      <c r="E2548" t="s">
        <v>349</v>
      </c>
      <c r="F2548" t="s">
        <v>6</v>
      </c>
      <c r="G2548" t="s">
        <v>37</v>
      </c>
      <c r="H2548" s="4">
        <v>12</v>
      </c>
      <c r="I2548" t="str">
        <f t="shared" si="39"/>
        <v>Symphurus plagusiaTongue fish</v>
      </c>
    </row>
    <row r="2549" spans="1:9" x14ac:dyDescent="0.35">
      <c r="A2549">
        <v>35</v>
      </c>
      <c r="B2549">
        <v>2018</v>
      </c>
      <c r="C2549">
        <v>4</v>
      </c>
      <c r="D2549" t="s">
        <v>175</v>
      </c>
      <c r="E2549" t="s">
        <v>349</v>
      </c>
      <c r="F2549" t="s">
        <v>6</v>
      </c>
      <c r="G2549" t="s">
        <v>37</v>
      </c>
      <c r="H2549" s="4">
        <v>12</v>
      </c>
      <c r="I2549" t="str">
        <f t="shared" si="39"/>
        <v>Symphurus plagusiaTongue fish</v>
      </c>
    </row>
    <row r="2550" spans="1:9" x14ac:dyDescent="0.35">
      <c r="A2550">
        <v>35</v>
      </c>
      <c r="B2550">
        <v>2018</v>
      </c>
      <c r="C2550">
        <v>4</v>
      </c>
      <c r="D2550" t="s">
        <v>175</v>
      </c>
      <c r="E2550" t="s">
        <v>349</v>
      </c>
      <c r="F2550" t="s">
        <v>6</v>
      </c>
      <c r="G2550" t="s">
        <v>37</v>
      </c>
      <c r="H2550" s="4">
        <v>13</v>
      </c>
      <c r="I2550" t="str">
        <f t="shared" si="39"/>
        <v>Symphurus plagusiaTongue fish</v>
      </c>
    </row>
    <row r="2551" spans="1:9" x14ac:dyDescent="0.35">
      <c r="A2551">
        <v>35</v>
      </c>
      <c r="B2551">
        <v>2018</v>
      </c>
      <c r="C2551">
        <v>4</v>
      </c>
      <c r="D2551" t="s">
        <v>175</v>
      </c>
      <c r="E2551" t="s">
        <v>349</v>
      </c>
      <c r="F2551" t="s">
        <v>6</v>
      </c>
      <c r="G2551" t="s">
        <v>37</v>
      </c>
      <c r="H2551" s="4">
        <v>10</v>
      </c>
      <c r="I2551" t="str">
        <f t="shared" si="39"/>
        <v>Symphurus plagusiaTongue fish</v>
      </c>
    </row>
    <row r="2552" spans="1:9" x14ac:dyDescent="0.35">
      <c r="A2552">
        <v>35</v>
      </c>
      <c r="B2552">
        <v>2018</v>
      </c>
      <c r="C2552">
        <v>4</v>
      </c>
      <c r="D2552" t="s">
        <v>175</v>
      </c>
      <c r="E2552" t="s">
        <v>349</v>
      </c>
      <c r="F2552" t="s">
        <v>6</v>
      </c>
      <c r="G2552" t="s">
        <v>37</v>
      </c>
      <c r="H2552" s="4">
        <v>9</v>
      </c>
      <c r="I2552" t="str">
        <f t="shared" si="39"/>
        <v>Symphurus plagusiaTongue fish</v>
      </c>
    </row>
    <row r="2553" spans="1:9" x14ac:dyDescent="0.35">
      <c r="A2553">
        <v>35</v>
      </c>
      <c r="B2553">
        <v>2018</v>
      </c>
      <c r="C2553">
        <v>4</v>
      </c>
      <c r="D2553" t="s">
        <v>175</v>
      </c>
      <c r="E2553" t="s">
        <v>349</v>
      </c>
      <c r="F2553" t="s">
        <v>6</v>
      </c>
      <c r="G2553" t="s">
        <v>37</v>
      </c>
      <c r="H2553" s="4">
        <v>8</v>
      </c>
      <c r="I2553" t="str">
        <f t="shared" si="39"/>
        <v>Symphurus plagusiaTongue fish</v>
      </c>
    </row>
    <row r="2554" spans="1:9" x14ac:dyDescent="0.35">
      <c r="A2554">
        <v>35</v>
      </c>
      <c r="B2554">
        <v>2018</v>
      </c>
      <c r="C2554">
        <v>4</v>
      </c>
      <c r="D2554" t="s">
        <v>175</v>
      </c>
      <c r="E2554" t="s">
        <v>349</v>
      </c>
      <c r="F2554" t="s">
        <v>6</v>
      </c>
      <c r="G2554" t="s">
        <v>37</v>
      </c>
      <c r="H2554" s="4">
        <v>8</v>
      </c>
      <c r="I2554" t="str">
        <f t="shared" si="39"/>
        <v>Symphurus plagusiaTongue fish</v>
      </c>
    </row>
    <row r="2555" spans="1:9" x14ac:dyDescent="0.35">
      <c r="A2555">
        <v>35</v>
      </c>
      <c r="B2555">
        <v>2018</v>
      </c>
      <c r="C2555">
        <v>4</v>
      </c>
      <c r="D2555" t="s">
        <v>175</v>
      </c>
      <c r="E2555" t="s">
        <v>349</v>
      </c>
      <c r="F2555" t="s">
        <v>6</v>
      </c>
      <c r="G2555" t="s">
        <v>37</v>
      </c>
      <c r="H2555" s="4">
        <v>8</v>
      </c>
      <c r="I2555" t="str">
        <f t="shared" si="39"/>
        <v>Symphurus plagusiaTongue fish</v>
      </c>
    </row>
    <row r="2556" spans="1:9" x14ac:dyDescent="0.35">
      <c r="A2556">
        <v>35</v>
      </c>
      <c r="B2556">
        <v>2018</v>
      </c>
      <c r="C2556">
        <v>4</v>
      </c>
      <c r="D2556" t="s">
        <v>175</v>
      </c>
      <c r="E2556" t="s">
        <v>349</v>
      </c>
      <c r="F2556" t="s">
        <v>6</v>
      </c>
      <c r="G2556" t="s">
        <v>37</v>
      </c>
      <c r="H2556" s="4">
        <v>7</v>
      </c>
      <c r="I2556" t="str">
        <f t="shared" si="39"/>
        <v>Symphurus plagusiaTongue fish</v>
      </c>
    </row>
    <row r="2557" spans="1:9" x14ac:dyDescent="0.35">
      <c r="A2557">
        <v>35</v>
      </c>
      <c r="B2557">
        <v>2018</v>
      </c>
      <c r="C2557">
        <v>4</v>
      </c>
      <c r="D2557" t="s">
        <v>175</v>
      </c>
      <c r="E2557" t="s">
        <v>349</v>
      </c>
      <c r="F2557" t="s">
        <v>6</v>
      </c>
      <c r="G2557" t="s">
        <v>37</v>
      </c>
      <c r="H2557" s="4">
        <v>11</v>
      </c>
      <c r="I2557" t="str">
        <f t="shared" si="39"/>
        <v>Symphurus plagusiaTongue fish</v>
      </c>
    </row>
    <row r="2558" spans="1:9" x14ac:dyDescent="0.35">
      <c r="A2558">
        <v>35</v>
      </c>
      <c r="B2558">
        <v>2018</v>
      </c>
      <c r="C2558">
        <v>4</v>
      </c>
      <c r="D2558" t="s">
        <v>175</v>
      </c>
      <c r="E2558" t="s">
        <v>349</v>
      </c>
      <c r="F2558" t="s">
        <v>6</v>
      </c>
      <c r="G2558" t="s">
        <v>37</v>
      </c>
      <c r="H2558" s="4">
        <v>8</v>
      </c>
      <c r="I2558" t="str">
        <f t="shared" si="39"/>
        <v>Symphurus plagusiaTongue fish</v>
      </c>
    </row>
    <row r="2559" spans="1:9" x14ac:dyDescent="0.35">
      <c r="A2559">
        <v>35</v>
      </c>
      <c r="B2559">
        <v>2018</v>
      </c>
      <c r="C2559">
        <v>4</v>
      </c>
      <c r="D2559" t="s">
        <v>175</v>
      </c>
      <c r="E2559" t="s">
        <v>349</v>
      </c>
      <c r="F2559" t="s">
        <v>6</v>
      </c>
      <c r="G2559" t="s">
        <v>37</v>
      </c>
      <c r="H2559" s="4">
        <v>8</v>
      </c>
      <c r="I2559" t="str">
        <f t="shared" si="39"/>
        <v>Symphurus plagusiaTongue fish</v>
      </c>
    </row>
    <row r="2560" spans="1:9" x14ac:dyDescent="0.35">
      <c r="A2560">
        <v>35</v>
      </c>
      <c r="B2560">
        <v>2018</v>
      </c>
      <c r="C2560">
        <v>4</v>
      </c>
      <c r="D2560" t="s">
        <v>175</v>
      </c>
      <c r="E2560" t="s">
        <v>349</v>
      </c>
      <c r="F2560" t="s">
        <v>6</v>
      </c>
      <c r="G2560" t="s">
        <v>37</v>
      </c>
      <c r="H2560" s="4">
        <v>4</v>
      </c>
      <c r="I2560" t="str">
        <f t="shared" si="39"/>
        <v>Symphurus plagusiaTongue fish</v>
      </c>
    </row>
    <row r="2561" spans="1:9" x14ac:dyDescent="0.35">
      <c r="A2561">
        <v>35</v>
      </c>
      <c r="B2561">
        <v>2018</v>
      </c>
      <c r="C2561">
        <v>4</v>
      </c>
      <c r="D2561" t="s">
        <v>175</v>
      </c>
      <c r="E2561" t="s">
        <v>349</v>
      </c>
      <c r="F2561" t="s">
        <v>6</v>
      </c>
      <c r="G2561" t="s">
        <v>37</v>
      </c>
      <c r="H2561" s="4">
        <v>8</v>
      </c>
      <c r="I2561" t="str">
        <f t="shared" si="39"/>
        <v>Symphurus plagusiaTongue fish</v>
      </c>
    </row>
    <row r="2562" spans="1:9" x14ac:dyDescent="0.35">
      <c r="A2562">
        <v>35</v>
      </c>
      <c r="B2562">
        <v>2018</v>
      </c>
      <c r="C2562">
        <v>4</v>
      </c>
      <c r="D2562" t="s">
        <v>175</v>
      </c>
      <c r="E2562" t="s">
        <v>349</v>
      </c>
      <c r="F2562" t="s">
        <v>6</v>
      </c>
      <c r="G2562" t="s">
        <v>37</v>
      </c>
      <c r="H2562" s="4">
        <v>6</v>
      </c>
      <c r="I2562" t="str">
        <f>CONCATENATE(F2562,G2562)</f>
        <v>Symphurus plagusiaTongue fish</v>
      </c>
    </row>
    <row r="2563" spans="1:9" x14ac:dyDescent="0.35">
      <c r="A2563">
        <v>35</v>
      </c>
      <c r="B2563">
        <v>2018</v>
      </c>
      <c r="C2563">
        <v>4</v>
      </c>
      <c r="D2563" t="s">
        <v>175</v>
      </c>
      <c r="E2563" t="s">
        <v>349</v>
      </c>
      <c r="F2563" t="s">
        <v>6</v>
      </c>
      <c r="G2563" t="s">
        <v>37</v>
      </c>
      <c r="H2563" s="4">
        <v>8</v>
      </c>
      <c r="I2563" t="str">
        <f>CONCATENATE(F2563,G2563)</f>
        <v>Symphurus plagusiaTongue fish</v>
      </c>
    </row>
    <row r="2564" spans="1:9" x14ac:dyDescent="0.35">
      <c r="A2564">
        <v>35</v>
      </c>
      <c r="B2564">
        <v>2018</v>
      </c>
      <c r="C2564">
        <v>4</v>
      </c>
      <c r="D2564" t="s">
        <v>175</v>
      </c>
      <c r="E2564" t="s">
        <v>349</v>
      </c>
      <c r="F2564" t="s">
        <v>6</v>
      </c>
      <c r="G2564" t="s">
        <v>37</v>
      </c>
      <c r="H2564" s="4">
        <v>8</v>
      </c>
      <c r="I2564" t="str">
        <f>CONCATENATE(F2564,G2564)</f>
        <v>Symphurus plagusiaTongue fish</v>
      </c>
    </row>
  </sheetData>
  <autoFilter ref="B1:I2564" xr:uid="{043F9222-1694-4688-A577-B33FBA7DC7DC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64BB7-C3B4-436B-863F-D0903E7A7DB1}">
  <sheetPr codeName="Sheet8"/>
  <dimension ref="C1:F75"/>
  <sheetViews>
    <sheetView workbookViewId="0">
      <selection activeCell="C26" sqref="C26"/>
    </sheetView>
  </sheetViews>
  <sheetFormatPr defaultRowHeight="14.5" x14ac:dyDescent="0.35"/>
  <cols>
    <col min="3" max="3" width="47" bestFit="1" customWidth="1"/>
    <col min="4" max="4" width="37.6328125" bestFit="1" customWidth="1"/>
    <col min="6" max="6" width="41" bestFit="1" customWidth="1"/>
  </cols>
  <sheetData>
    <row r="1" spans="3:6" x14ac:dyDescent="0.35">
      <c r="C1" s="1" t="s">
        <v>271</v>
      </c>
      <c r="D1" s="1" t="s">
        <v>272</v>
      </c>
    </row>
    <row r="2" spans="3:6" x14ac:dyDescent="0.35">
      <c r="C2" t="s">
        <v>224</v>
      </c>
      <c r="D2" t="s">
        <v>223</v>
      </c>
      <c r="F2" t="str">
        <f>VLOOKUP(D2,$C$2:$C$62,1,0)</f>
        <v>Achirus achirusDrab Sole</v>
      </c>
    </row>
    <row r="3" spans="3:6" x14ac:dyDescent="0.35">
      <c r="C3" t="s">
        <v>223</v>
      </c>
      <c r="D3" t="s">
        <v>251</v>
      </c>
      <c r="F3" t="str">
        <f t="shared" ref="F3:F29" si="0">VLOOKUP(D3,$C$2:$C$62,1,0)</f>
        <v>Anchoa mitchilliNegli</v>
      </c>
    </row>
    <row r="4" spans="3:6" x14ac:dyDescent="0.35">
      <c r="C4" t="s">
        <v>373</v>
      </c>
      <c r="D4" t="s">
        <v>256</v>
      </c>
      <c r="F4" t="str">
        <f t="shared" si="0"/>
        <v>Anchoa spiniferSpecule Anchovy</v>
      </c>
    </row>
    <row r="5" spans="3:6" x14ac:dyDescent="0.35">
      <c r="C5" t="s">
        <v>251</v>
      </c>
      <c r="D5" t="s">
        <v>369</v>
      </c>
      <c r="F5" t="str">
        <f t="shared" si="0"/>
        <v>Anchoviella lepidentosoleBroad striped anchovy</v>
      </c>
    </row>
    <row r="6" spans="3:6" x14ac:dyDescent="0.35">
      <c r="C6" t="s">
        <v>256</v>
      </c>
      <c r="D6" t="s">
        <v>259</v>
      </c>
      <c r="F6" t="str">
        <f t="shared" si="0"/>
        <v>Apionichthys dumeriliLongtail Sole</v>
      </c>
    </row>
    <row r="7" spans="3:6" x14ac:dyDescent="0.35">
      <c r="C7" t="s">
        <v>369</v>
      </c>
      <c r="D7" t="s">
        <v>221</v>
      </c>
      <c r="F7" t="str">
        <f t="shared" si="0"/>
        <v>Aridae (G) ariusSpring Cuirass</v>
      </c>
    </row>
    <row r="8" spans="3:6" x14ac:dyDescent="0.35">
      <c r="C8" t="s">
        <v>259</v>
      </c>
      <c r="D8" t="s">
        <v>248</v>
      </c>
      <c r="F8" t="str">
        <f t="shared" si="0"/>
        <v>Arius proopsCuirass</v>
      </c>
    </row>
    <row r="9" spans="3:6" x14ac:dyDescent="0.35">
      <c r="C9" t="s">
        <v>221</v>
      </c>
      <c r="D9" t="s">
        <v>220</v>
      </c>
      <c r="F9" t="str">
        <f t="shared" si="0"/>
        <v>Bagre bagreCatfish</v>
      </c>
    </row>
    <row r="10" spans="3:6" x14ac:dyDescent="0.35">
      <c r="C10" t="s">
        <v>248</v>
      </c>
      <c r="D10" t="s">
        <v>362</v>
      </c>
      <c r="F10" t="str">
        <f t="shared" si="0"/>
        <v>Batrachoides  surinamensisPacu</v>
      </c>
    </row>
    <row r="11" spans="3:6" x14ac:dyDescent="0.35">
      <c r="C11" t="s">
        <v>376</v>
      </c>
      <c r="D11" t="s">
        <v>225</v>
      </c>
      <c r="F11" t="str">
        <f t="shared" si="0"/>
        <v>Chaetodipterus faberSea Donkey</v>
      </c>
    </row>
    <row r="12" spans="3:6" x14ac:dyDescent="0.35">
      <c r="C12" t="s">
        <v>220</v>
      </c>
      <c r="D12" t="s">
        <v>235</v>
      </c>
      <c r="F12" t="str">
        <f t="shared" si="0"/>
        <v>Colomesus psittacusBanded Puffer</v>
      </c>
    </row>
    <row r="13" spans="3:6" x14ac:dyDescent="0.35">
      <c r="C13" t="s">
        <v>362</v>
      </c>
      <c r="D13" t="s">
        <v>247</v>
      </c>
      <c r="F13" t="str">
        <f t="shared" si="0"/>
        <v>Conodon nobilisGrunt</v>
      </c>
    </row>
    <row r="14" spans="3:6" x14ac:dyDescent="0.35">
      <c r="C14" t="s">
        <v>377</v>
      </c>
      <c r="D14" t="s">
        <v>245</v>
      </c>
      <c r="F14" t="str">
        <f t="shared" si="0"/>
        <v>Cynoscion virescensSeatrout</v>
      </c>
    </row>
    <row r="15" spans="3:6" x14ac:dyDescent="0.35">
      <c r="C15" t="s">
        <v>371</v>
      </c>
      <c r="D15" t="s">
        <v>358</v>
      </c>
      <c r="F15" t="str">
        <f t="shared" si="0"/>
        <v>Dastyis guttataLongnose stingray</v>
      </c>
    </row>
    <row r="16" spans="3:6" x14ac:dyDescent="0.35">
      <c r="C16" t="s">
        <v>267</v>
      </c>
      <c r="D16" t="s">
        <v>365</v>
      </c>
      <c r="F16" t="str">
        <f t="shared" si="0"/>
        <v>Dasyatis geijskesiSharpsnout stingray</v>
      </c>
    </row>
    <row r="17" spans="3:6" x14ac:dyDescent="0.35">
      <c r="C17" t="s">
        <v>361</v>
      </c>
      <c r="D17" t="s">
        <v>230</v>
      </c>
      <c r="F17" t="str">
        <f t="shared" si="0"/>
        <v>Genyatremus leteusAnnafolk</v>
      </c>
    </row>
    <row r="18" spans="3:6" x14ac:dyDescent="0.35">
      <c r="C18" t="s">
        <v>380</v>
      </c>
      <c r="D18" t="s">
        <v>360</v>
      </c>
      <c r="F18" t="str">
        <f t="shared" si="0"/>
        <v>Gymnura micruraButterfly stingray</v>
      </c>
    </row>
    <row r="19" spans="3:6" x14ac:dyDescent="0.35">
      <c r="C19" t="s">
        <v>225</v>
      </c>
      <c r="D19" t="s">
        <v>236</v>
      </c>
      <c r="F19" t="str">
        <f t="shared" si="0"/>
        <v>Laligo laligoSquid Laligo</v>
      </c>
    </row>
    <row r="20" spans="3:6" x14ac:dyDescent="0.35">
      <c r="C20" t="s">
        <v>378</v>
      </c>
      <c r="D20" t="s">
        <v>228</v>
      </c>
      <c r="F20" t="str">
        <f t="shared" si="0"/>
        <v>Larimus brevicepsSilver Snapper</v>
      </c>
    </row>
    <row r="21" spans="3:6" x14ac:dyDescent="0.35">
      <c r="C21" t="s">
        <v>366</v>
      </c>
      <c r="D21" t="s">
        <v>229</v>
      </c>
      <c r="F21" t="str">
        <f t="shared" si="0"/>
        <v>Macrodon ancylodonBangamary</v>
      </c>
    </row>
    <row r="22" spans="3:6" x14ac:dyDescent="0.35">
      <c r="C22" t="s">
        <v>249</v>
      </c>
      <c r="D22" t="s">
        <v>233</v>
      </c>
      <c r="F22" t="str">
        <f t="shared" si="0"/>
        <v>Menticirrhus americanusSouthern Kingcroaker</v>
      </c>
    </row>
    <row r="23" spans="3:6" x14ac:dyDescent="0.35">
      <c r="C23" t="s">
        <v>235</v>
      </c>
      <c r="D23" t="s">
        <v>357</v>
      </c>
      <c r="F23" t="str">
        <f t="shared" si="0"/>
        <v>Narcine brasiliensisBrazilian Electric Ray</v>
      </c>
    </row>
    <row r="24" spans="3:6" x14ac:dyDescent="0.35">
      <c r="C24" t="s">
        <v>247</v>
      </c>
      <c r="D24" t="s">
        <v>227</v>
      </c>
      <c r="F24" t="str">
        <f t="shared" si="0"/>
        <v>Nebris micropsButterfish</v>
      </c>
    </row>
    <row r="25" spans="3:6" x14ac:dyDescent="0.35">
      <c r="C25" t="s">
        <v>260</v>
      </c>
      <c r="D25" t="s">
        <v>237</v>
      </c>
      <c r="F25" t="str">
        <f t="shared" si="0"/>
        <v>Ophichtus gomesiShrimp Eel</v>
      </c>
    </row>
    <row r="26" spans="3:6" x14ac:dyDescent="0.35">
      <c r="C26" t="s">
        <v>375</v>
      </c>
      <c r="D26" t="s">
        <v>363</v>
      </c>
      <c r="F26" t="str">
        <f t="shared" si="0"/>
        <v>Paralonchurus braziliensisBanded croaker</v>
      </c>
    </row>
    <row r="27" spans="3:6" x14ac:dyDescent="0.35">
      <c r="C27" t="s">
        <v>245</v>
      </c>
      <c r="D27" t="s">
        <v>244</v>
      </c>
      <c r="F27" t="str">
        <f t="shared" si="0"/>
        <v>Paralonchurus  elegansChinese Butterfish</v>
      </c>
    </row>
    <row r="28" spans="3:6" x14ac:dyDescent="0.35">
      <c r="C28" t="s">
        <v>358</v>
      </c>
      <c r="D28" t="s">
        <v>257</v>
      </c>
      <c r="F28" t="str">
        <f t="shared" si="0"/>
        <v>Pellona harroweriRiver Pellona</v>
      </c>
    </row>
    <row r="29" spans="3:6" x14ac:dyDescent="0.35">
      <c r="C29" t="s">
        <v>365</v>
      </c>
      <c r="D29" t="s">
        <v>364</v>
      </c>
      <c r="F29" t="str">
        <f t="shared" si="0"/>
        <v>Polydactylus virginicusBeard fish</v>
      </c>
    </row>
    <row r="30" spans="3:6" x14ac:dyDescent="0.35">
      <c r="C30" t="s">
        <v>262</v>
      </c>
      <c r="D30" t="s">
        <v>250</v>
      </c>
      <c r="F30" t="str">
        <f>VLOOKUP(D30,$C$2:$C$75,1,0)</f>
        <v>Selene browniMoonfish</v>
      </c>
    </row>
    <row r="31" spans="3:6" x14ac:dyDescent="0.35">
      <c r="C31" t="s">
        <v>242</v>
      </c>
      <c r="D31" t="s">
        <v>255</v>
      </c>
      <c r="F31" t="str">
        <f>VLOOKUP(D31,$C$2:$C$75,1,0)</f>
        <v>Squilla mantisMantis Shrimp</v>
      </c>
    </row>
    <row r="32" spans="3:6" x14ac:dyDescent="0.35">
      <c r="C32" t="s">
        <v>230</v>
      </c>
      <c r="D32" t="s">
        <v>232</v>
      </c>
      <c r="F32" t="str">
        <f>VLOOKUP(D32,$C$2:$C$75,1,0)</f>
        <v>Stellifer micropsRockhead</v>
      </c>
    </row>
    <row r="33" spans="3:6" x14ac:dyDescent="0.35">
      <c r="C33" t="s">
        <v>360</v>
      </c>
      <c r="D33" t="s">
        <v>268</v>
      </c>
      <c r="F33" t="str">
        <f>VLOOKUP(D33,$C$2:$C$75,1,0)</f>
        <v>Stellifer rastriferRockhead</v>
      </c>
    </row>
    <row r="34" spans="3:6" x14ac:dyDescent="0.35">
      <c r="C34" t="s">
        <v>379</v>
      </c>
      <c r="D34" t="s">
        <v>254</v>
      </c>
    </row>
    <row r="35" spans="3:6" x14ac:dyDescent="0.35">
      <c r="C35" t="s">
        <v>226</v>
      </c>
      <c r="D35" t="s">
        <v>246</v>
      </c>
    </row>
    <row r="36" spans="3:6" x14ac:dyDescent="0.35">
      <c r="C36" t="s">
        <v>372</v>
      </c>
    </row>
    <row r="37" spans="3:6" x14ac:dyDescent="0.35">
      <c r="C37" t="s">
        <v>231</v>
      </c>
    </row>
    <row r="38" spans="3:6" x14ac:dyDescent="0.35">
      <c r="C38" t="s">
        <v>236</v>
      </c>
    </row>
    <row r="39" spans="3:6" x14ac:dyDescent="0.35">
      <c r="C39" t="s">
        <v>228</v>
      </c>
    </row>
    <row r="40" spans="3:6" x14ac:dyDescent="0.35">
      <c r="C40" t="s">
        <v>263</v>
      </c>
    </row>
    <row r="41" spans="3:6" x14ac:dyDescent="0.35">
      <c r="C41" t="s">
        <v>229</v>
      </c>
    </row>
    <row r="42" spans="3:6" x14ac:dyDescent="0.35">
      <c r="C42" t="s">
        <v>233</v>
      </c>
    </row>
    <row r="43" spans="3:6" x14ac:dyDescent="0.35">
      <c r="C43" t="s">
        <v>265</v>
      </c>
    </row>
    <row r="44" spans="3:6" x14ac:dyDescent="0.35">
      <c r="C44" t="s">
        <v>240</v>
      </c>
    </row>
    <row r="45" spans="3:6" x14ac:dyDescent="0.35">
      <c r="C45" t="s">
        <v>357</v>
      </c>
    </row>
    <row r="46" spans="3:6" x14ac:dyDescent="0.35">
      <c r="C46" t="s">
        <v>227</v>
      </c>
    </row>
    <row r="47" spans="3:6" x14ac:dyDescent="0.35">
      <c r="C47" t="s">
        <v>368</v>
      </c>
    </row>
    <row r="48" spans="3:6" x14ac:dyDescent="0.35">
      <c r="C48" t="s">
        <v>237</v>
      </c>
    </row>
    <row r="49" spans="3:3" x14ac:dyDescent="0.35">
      <c r="C49" t="s">
        <v>244</v>
      </c>
    </row>
    <row r="50" spans="3:3" x14ac:dyDescent="0.35">
      <c r="C50" t="s">
        <v>363</v>
      </c>
    </row>
    <row r="51" spans="3:3" x14ac:dyDescent="0.35">
      <c r="C51" t="s">
        <v>252</v>
      </c>
    </row>
    <row r="52" spans="3:3" x14ac:dyDescent="0.35">
      <c r="C52" t="s">
        <v>257</v>
      </c>
    </row>
    <row r="53" spans="3:3" x14ac:dyDescent="0.35">
      <c r="C53" t="s">
        <v>238</v>
      </c>
    </row>
    <row r="54" spans="3:3" x14ac:dyDescent="0.35">
      <c r="C54" t="s">
        <v>239</v>
      </c>
    </row>
    <row r="55" spans="3:3" x14ac:dyDescent="0.35">
      <c r="C55" t="s">
        <v>370</v>
      </c>
    </row>
    <row r="56" spans="3:3" x14ac:dyDescent="0.35">
      <c r="C56" t="s">
        <v>364</v>
      </c>
    </row>
    <row r="57" spans="3:3" x14ac:dyDescent="0.35">
      <c r="C57" t="s">
        <v>359</v>
      </c>
    </row>
    <row r="58" spans="3:3" x14ac:dyDescent="0.35">
      <c r="C58" t="s">
        <v>270</v>
      </c>
    </row>
    <row r="59" spans="3:3" x14ac:dyDescent="0.35">
      <c r="C59" t="s">
        <v>264</v>
      </c>
    </row>
    <row r="60" spans="3:3" x14ac:dyDescent="0.35">
      <c r="C60" t="s">
        <v>374</v>
      </c>
    </row>
    <row r="61" spans="3:3" x14ac:dyDescent="0.35">
      <c r="C61" t="s">
        <v>253</v>
      </c>
    </row>
    <row r="62" spans="3:3" x14ac:dyDescent="0.35">
      <c r="C62" t="s">
        <v>250</v>
      </c>
    </row>
    <row r="63" spans="3:3" x14ac:dyDescent="0.35">
      <c r="C63" t="s">
        <v>269</v>
      </c>
    </row>
    <row r="64" spans="3:3" x14ac:dyDescent="0.35">
      <c r="C64" t="s">
        <v>261</v>
      </c>
    </row>
    <row r="65" spans="3:3" x14ac:dyDescent="0.35">
      <c r="C65" t="s">
        <v>234</v>
      </c>
    </row>
    <row r="66" spans="3:3" x14ac:dyDescent="0.35">
      <c r="C66" t="s">
        <v>266</v>
      </c>
    </row>
    <row r="67" spans="3:3" x14ac:dyDescent="0.35">
      <c r="C67" t="s">
        <v>255</v>
      </c>
    </row>
    <row r="68" spans="3:3" x14ac:dyDescent="0.35">
      <c r="C68" t="s">
        <v>243</v>
      </c>
    </row>
    <row r="69" spans="3:3" x14ac:dyDescent="0.35">
      <c r="C69" t="s">
        <v>232</v>
      </c>
    </row>
    <row r="70" spans="3:3" x14ac:dyDescent="0.35">
      <c r="C70" t="s">
        <v>268</v>
      </c>
    </row>
    <row r="71" spans="3:3" x14ac:dyDescent="0.35">
      <c r="C71" t="s">
        <v>222</v>
      </c>
    </row>
    <row r="72" spans="3:3" x14ac:dyDescent="0.35">
      <c r="C72" t="s">
        <v>246</v>
      </c>
    </row>
    <row r="73" spans="3:3" x14ac:dyDescent="0.35">
      <c r="C73" t="s">
        <v>241</v>
      </c>
    </row>
    <row r="74" spans="3:3" x14ac:dyDescent="0.35">
      <c r="C74" t="s">
        <v>258</v>
      </c>
    </row>
    <row r="75" spans="3:3" x14ac:dyDescent="0.35">
      <c r="C75" t="s">
        <v>367</v>
      </c>
    </row>
  </sheetData>
  <sortState xmlns:xlrd2="http://schemas.microsoft.com/office/spreadsheetml/2017/richdata2" ref="D2:D35">
    <sortCondition ref="D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24D5B-EC77-48C9-BB8F-608B945A6311}">
  <sheetPr codeName="Sheet6"/>
  <dimension ref="A1:AP243"/>
  <sheetViews>
    <sheetView topLeftCell="C94" zoomScale="80" zoomScaleNormal="80" workbookViewId="0">
      <selection activeCell="AG13" sqref="AG13"/>
    </sheetView>
  </sheetViews>
  <sheetFormatPr defaultRowHeight="14.5" x14ac:dyDescent="0.35"/>
  <cols>
    <col min="1" max="1" width="17.81640625" bestFit="1" customWidth="1"/>
    <col min="2" max="2" width="2.81640625" customWidth="1"/>
    <col min="3" max="3" width="2.81640625" bestFit="1" customWidth="1"/>
    <col min="4" max="31" width="2.81640625" customWidth="1"/>
    <col min="32" max="32" width="2.81640625" bestFit="1" customWidth="1"/>
    <col min="33" max="33" width="2.81640625" customWidth="1"/>
    <col min="34" max="35" width="2.81640625" bestFit="1" customWidth="1"/>
    <col min="36" max="36" width="26.453125" bestFit="1" customWidth="1"/>
    <col min="37" max="37" width="7.81640625" customWidth="1"/>
    <col min="38" max="38" width="32.54296875" bestFit="1" customWidth="1"/>
    <col min="39" max="39" width="23.1796875" bestFit="1" customWidth="1"/>
  </cols>
  <sheetData>
    <row r="1" spans="1:42" x14ac:dyDescent="0.35">
      <c r="AL1" s="7" t="s">
        <v>206</v>
      </c>
    </row>
    <row r="2" spans="1:42" x14ac:dyDescent="0.35">
      <c r="A2" s="7" t="s">
        <v>202</v>
      </c>
      <c r="B2" s="7" t="s">
        <v>203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 t="s">
        <v>201</v>
      </c>
      <c r="AK2" s="7"/>
      <c r="AL2" s="7" t="s">
        <v>207</v>
      </c>
      <c r="AM2" s="7" t="s">
        <v>208</v>
      </c>
      <c r="AN2" s="7"/>
      <c r="AO2" s="7" t="s">
        <v>197</v>
      </c>
      <c r="AP2" s="7"/>
    </row>
    <row r="3" spans="1:42" x14ac:dyDescent="0.35">
      <c r="A3" t="s">
        <v>16</v>
      </c>
      <c r="B3">
        <v>11</v>
      </c>
      <c r="C3">
        <v>21</v>
      </c>
      <c r="D3">
        <v>18</v>
      </c>
      <c r="E3">
        <v>14</v>
      </c>
      <c r="F3">
        <v>23</v>
      </c>
      <c r="G3">
        <v>11</v>
      </c>
      <c r="H3">
        <v>14</v>
      </c>
      <c r="I3">
        <v>23</v>
      </c>
      <c r="J3">
        <v>12</v>
      </c>
      <c r="K3">
        <v>9</v>
      </c>
      <c r="L3">
        <v>12</v>
      </c>
      <c r="M3">
        <v>9</v>
      </c>
      <c r="N3">
        <v>9</v>
      </c>
      <c r="O3">
        <v>8</v>
      </c>
      <c r="P3">
        <v>9</v>
      </c>
      <c r="Q3">
        <v>11</v>
      </c>
      <c r="R3">
        <v>9</v>
      </c>
      <c r="S3">
        <v>10</v>
      </c>
      <c r="T3">
        <v>8</v>
      </c>
      <c r="U3">
        <v>10</v>
      </c>
      <c r="V3">
        <v>17</v>
      </c>
      <c r="W3">
        <v>19</v>
      </c>
      <c r="X3">
        <v>7</v>
      </c>
      <c r="Y3">
        <v>8</v>
      </c>
      <c r="Z3">
        <v>9</v>
      </c>
      <c r="AA3">
        <v>10</v>
      </c>
      <c r="AB3">
        <v>8</v>
      </c>
      <c r="AC3">
        <v>13</v>
      </c>
      <c r="AD3">
        <v>15</v>
      </c>
      <c r="AE3">
        <v>11</v>
      </c>
      <c r="AJ3" t="str">
        <f>INDEX($A$3:$AI$20,1+INT((ROW(A1)-1)/COLUMNS($A$3:$AI$20)),MOD(ROW(A1)-1+COLUMNS($A$3:$AI$20),COLUMNS($A$3:$AI$20))+1)</f>
        <v>Butterfish</v>
      </c>
      <c r="AL3" t="s">
        <v>16</v>
      </c>
      <c r="AM3" t="s">
        <v>15</v>
      </c>
      <c r="AO3" s="5">
        <v>0</v>
      </c>
      <c r="AP3" s="5"/>
    </row>
    <row r="4" spans="1:42" x14ac:dyDescent="0.35">
      <c r="A4" t="s">
        <v>35</v>
      </c>
      <c r="B4">
        <v>16</v>
      </c>
      <c r="C4">
        <v>18</v>
      </c>
      <c r="D4">
        <v>18</v>
      </c>
      <c r="E4">
        <v>18</v>
      </c>
      <c r="F4">
        <v>22</v>
      </c>
      <c r="G4">
        <v>15</v>
      </c>
      <c r="H4">
        <v>19</v>
      </c>
      <c r="I4">
        <v>18</v>
      </c>
      <c r="J4">
        <v>22</v>
      </c>
      <c r="K4">
        <v>15</v>
      </c>
      <c r="L4">
        <v>22</v>
      </c>
      <c r="M4">
        <v>9</v>
      </c>
      <c r="N4">
        <v>11</v>
      </c>
      <c r="O4">
        <v>18</v>
      </c>
      <c r="P4">
        <v>13</v>
      </c>
      <c r="Q4">
        <v>13</v>
      </c>
      <c r="R4">
        <v>12</v>
      </c>
      <c r="S4">
        <v>15</v>
      </c>
      <c r="T4">
        <v>20</v>
      </c>
      <c r="U4">
        <v>10</v>
      </c>
      <c r="V4">
        <v>10</v>
      </c>
      <c r="W4">
        <v>13</v>
      </c>
      <c r="X4">
        <v>18</v>
      </c>
      <c r="Y4">
        <v>20</v>
      </c>
      <c r="Z4">
        <v>23</v>
      </c>
      <c r="AA4">
        <v>16</v>
      </c>
      <c r="AB4">
        <v>9</v>
      </c>
      <c r="AC4">
        <v>13</v>
      </c>
      <c r="AD4">
        <v>8</v>
      </c>
      <c r="AE4">
        <v>10</v>
      </c>
      <c r="AJ4">
        <f t="shared" ref="AJ4:AJ67" si="0">INDEX($A$3:$AI$20,1+INT((ROW(A2)-1)/COLUMNS($A$3:$AI$20)),MOD(ROW(A2)-1+COLUMNS($A$3:$AI$20),COLUMNS($A$3:$AI$20))+1)</f>
        <v>11</v>
      </c>
      <c r="AL4" t="s">
        <v>35</v>
      </c>
      <c r="AM4" t="s">
        <v>40</v>
      </c>
      <c r="AO4" s="5">
        <v>1</v>
      </c>
      <c r="AP4" s="5"/>
    </row>
    <row r="5" spans="1:42" x14ac:dyDescent="0.35">
      <c r="A5" t="s">
        <v>405</v>
      </c>
      <c r="B5">
        <v>14</v>
      </c>
      <c r="C5">
        <v>18</v>
      </c>
      <c r="D5">
        <v>15</v>
      </c>
      <c r="E5">
        <v>11</v>
      </c>
      <c r="F5">
        <v>15</v>
      </c>
      <c r="G5">
        <v>15</v>
      </c>
      <c r="H5">
        <v>8</v>
      </c>
      <c r="I5">
        <v>8</v>
      </c>
      <c r="J5">
        <v>7</v>
      </c>
      <c r="K5">
        <v>10</v>
      </c>
      <c r="L5">
        <v>8</v>
      </c>
      <c r="M5">
        <v>9</v>
      </c>
      <c r="N5">
        <v>13</v>
      </c>
      <c r="O5">
        <v>13</v>
      </c>
      <c r="P5">
        <v>18</v>
      </c>
      <c r="Q5">
        <v>17</v>
      </c>
      <c r="R5">
        <v>8</v>
      </c>
      <c r="S5">
        <v>8</v>
      </c>
      <c r="T5">
        <v>10</v>
      </c>
      <c r="U5">
        <v>9</v>
      </c>
      <c r="V5">
        <v>12</v>
      </c>
      <c r="W5">
        <v>11</v>
      </c>
      <c r="X5">
        <v>9</v>
      </c>
      <c r="Y5">
        <v>17</v>
      </c>
      <c r="Z5">
        <v>19</v>
      </c>
      <c r="AA5">
        <v>17</v>
      </c>
      <c r="AB5">
        <v>13</v>
      </c>
      <c r="AC5">
        <v>9</v>
      </c>
      <c r="AD5">
        <v>12</v>
      </c>
      <c r="AE5">
        <v>16</v>
      </c>
      <c r="AJ5">
        <f t="shared" si="0"/>
        <v>21</v>
      </c>
      <c r="AL5" t="s">
        <v>405</v>
      </c>
      <c r="AM5" t="s">
        <v>21</v>
      </c>
      <c r="AO5" s="5">
        <v>2</v>
      </c>
      <c r="AP5" s="5"/>
    </row>
    <row r="6" spans="1:42" x14ac:dyDescent="0.35">
      <c r="A6" t="s">
        <v>286</v>
      </c>
      <c r="B6">
        <v>10</v>
      </c>
      <c r="C6">
        <v>9</v>
      </c>
      <c r="D6">
        <v>17</v>
      </c>
      <c r="E6">
        <v>9</v>
      </c>
      <c r="F6">
        <v>8</v>
      </c>
      <c r="G6">
        <v>8</v>
      </c>
      <c r="H6">
        <v>7</v>
      </c>
      <c r="I6">
        <v>8</v>
      </c>
      <c r="J6">
        <v>15</v>
      </c>
      <c r="K6">
        <v>9</v>
      </c>
      <c r="L6">
        <v>15</v>
      </c>
      <c r="M6">
        <v>9</v>
      </c>
      <c r="N6">
        <v>10</v>
      </c>
      <c r="O6">
        <v>11</v>
      </c>
      <c r="P6">
        <v>9</v>
      </c>
      <c r="Q6">
        <v>8</v>
      </c>
      <c r="R6">
        <v>8</v>
      </c>
      <c r="S6">
        <v>10</v>
      </c>
      <c r="T6">
        <v>8</v>
      </c>
      <c r="U6">
        <v>8</v>
      </c>
      <c r="V6">
        <v>9</v>
      </c>
      <c r="W6">
        <v>8</v>
      </c>
      <c r="X6">
        <v>8</v>
      </c>
      <c r="Y6">
        <v>8</v>
      </c>
      <c r="Z6">
        <v>15</v>
      </c>
      <c r="AA6">
        <v>11</v>
      </c>
      <c r="AB6">
        <v>8</v>
      </c>
      <c r="AC6">
        <v>15</v>
      </c>
      <c r="AD6">
        <v>10</v>
      </c>
      <c r="AE6">
        <v>8</v>
      </c>
      <c r="AF6">
        <v>8</v>
      </c>
      <c r="AJ6">
        <f t="shared" si="0"/>
        <v>18</v>
      </c>
      <c r="AL6" t="s">
        <v>286</v>
      </c>
      <c r="AM6" t="s">
        <v>58</v>
      </c>
      <c r="AO6" s="5">
        <v>3</v>
      </c>
      <c r="AP6" s="5"/>
    </row>
    <row r="7" spans="1:42" x14ac:dyDescent="0.35">
      <c r="A7" t="s">
        <v>406</v>
      </c>
      <c r="B7">
        <v>15</v>
      </c>
      <c r="C7">
        <v>11</v>
      </c>
      <c r="D7">
        <v>10</v>
      </c>
      <c r="E7">
        <v>11</v>
      </c>
      <c r="F7">
        <v>12</v>
      </c>
      <c r="G7">
        <v>8</v>
      </c>
      <c r="H7">
        <v>6</v>
      </c>
      <c r="I7">
        <v>11</v>
      </c>
      <c r="J7">
        <v>8</v>
      </c>
      <c r="K7">
        <v>7</v>
      </c>
      <c r="L7">
        <v>8</v>
      </c>
      <c r="M7">
        <v>9</v>
      </c>
      <c r="N7">
        <v>11</v>
      </c>
      <c r="O7">
        <v>7</v>
      </c>
      <c r="P7">
        <v>6</v>
      </c>
      <c r="Q7">
        <v>9</v>
      </c>
      <c r="R7">
        <v>8</v>
      </c>
      <c r="S7">
        <v>8</v>
      </c>
      <c r="T7">
        <v>9</v>
      </c>
      <c r="U7">
        <v>8</v>
      </c>
      <c r="V7">
        <v>7</v>
      </c>
      <c r="W7">
        <v>14</v>
      </c>
      <c r="X7">
        <v>8</v>
      </c>
      <c r="Y7">
        <v>10</v>
      </c>
      <c r="Z7">
        <v>8</v>
      </c>
      <c r="AA7">
        <v>9</v>
      </c>
      <c r="AB7">
        <v>10</v>
      </c>
      <c r="AC7">
        <v>10</v>
      </c>
      <c r="AD7">
        <v>9</v>
      </c>
      <c r="AE7">
        <v>11</v>
      </c>
      <c r="AJ7">
        <f t="shared" si="0"/>
        <v>14</v>
      </c>
      <c r="AL7" t="s">
        <v>406</v>
      </c>
      <c r="AM7" t="s">
        <v>5</v>
      </c>
      <c r="AO7" s="5">
        <v>4</v>
      </c>
      <c r="AP7" s="5"/>
    </row>
    <row r="8" spans="1:42" x14ac:dyDescent="0.35">
      <c r="AJ8">
        <f t="shared" si="0"/>
        <v>23</v>
      </c>
      <c r="AO8" s="5">
        <v>5</v>
      </c>
      <c r="AP8" s="5"/>
    </row>
    <row r="9" spans="1:42" x14ac:dyDescent="0.35">
      <c r="AJ9">
        <f t="shared" si="0"/>
        <v>11</v>
      </c>
      <c r="AO9" s="5">
        <v>6</v>
      </c>
      <c r="AP9" s="5"/>
    </row>
    <row r="10" spans="1:42" x14ac:dyDescent="0.35">
      <c r="AJ10">
        <f t="shared" si="0"/>
        <v>14</v>
      </c>
      <c r="AO10" s="5">
        <v>7</v>
      </c>
      <c r="AP10" s="5"/>
    </row>
    <row r="11" spans="1:42" x14ac:dyDescent="0.35">
      <c r="AJ11">
        <f t="shared" si="0"/>
        <v>23</v>
      </c>
      <c r="AO11" s="5">
        <v>8</v>
      </c>
      <c r="AP11" s="5"/>
    </row>
    <row r="12" spans="1:42" x14ac:dyDescent="0.35">
      <c r="AJ12">
        <f t="shared" si="0"/>
        <v>12</v>
      </c>
      <c r="AO12" s="5">
        <v>9</v>
      </c>
      <c r="AP12" s="5"/>
    </row>
    <row r="13" spans="1:42" x14ac:dyDescent="0.35">
      <c r="AJ13">
        <f t="shared" si="0"/>
        <v>9</v>
      </c>
      <c r="AO13" s="5">
        <v>10</v>
      </c>
      <c r="AP13" s="5"/>
    </row>
    <row r="14" spans="1:42" x14ac:dyDescent="0.35">
      <c r="AJ14">
        <f t="shared" si="0"/>
        <v>12</v>
      </c>
      <c r="AO14" s="5">
        <v>11</v>
      </c>
      <c r="AP14" s="5"/>
    </row>
    <row r="15" spans="1:42" x14ac:dyDescent="0.35">
      <c r="AJ15">
        <f t="shared" si="0"/>
        <v>9</v>
      </c>
      <c r="AO15" s="5">
        <v>12</v>
      </c>
      <c r="AP15" s="5"/>
    </row>
    <row r="16" spans="1:42" x14ac:dyDescent="0.35">
      <c r="AJ16">
        <f t="shared" si="0"/>
        <v>9</v>
      </c>
      <c r="AO16" s="5">
        <v>13</v>
      </c>
      <c r="AP16" s="5"/>
    </row>
    <row r="17" spans="36:42" x14ac:dyDescent="0.35">
      <c r="AJ17">
        <f t="shared" si="0"/>
        <v>8</v>
      </c>
      <c r="AO17" s="5">
        <v>14</v>
      </c>
      <c r="AP17" s="5"/>
    </row>
    <row r="18" spans="36:42" x14ac:dyDescent="0.35">
      <c r="AJ18">
        <f t="shared" si="0"/>
        <v>9</v>
      </c>
      <c r="AO18" s="5">
        <v>15</v>
      </c>
      <c r="AP18" s="5"/>
    </row>
    <row r="19" spans="36:42" x14ac:dyDescent="0.35">
      <c r="AJ19">
        <f t="shared" si="0"/>
        <v>11</v>
      </c>
      <c r="AO19" s="5">
        <v>16</v>
      </c>
      <c r="AP19" s="5"/>
    </row>
    <row r="20" spans="36:42" x14ac:dyDescent="0.35">
      <c r="AJ20">
        <f t="shared" si="0"/>
        <v>9</v>
      </c>
      <c r="AO20" s="5">
        <v>17</v>
      </c>
      <c r="AP20" s="5"/>
    </row>
    <row r="21" spans="36:42" x14ac:dyDescent="0.35">
      <c r="AJ21">
        <f t="shared" si="0"/>
        <v>10</v>
      </c>
      <c r="AO21" s="5">
        <v>18</v>
      </c>
      <c r="AP21" s="5"/>
    </row>
    <row r="22" spans="36:42" x14ac:dyDescent="0.35">
      <c r="AJ22">
        <f t="shared" si="0"/>
        <v>8</v>
      </c>
      <c r="AO22" s="5">
        <v>19</v>
      </c>
      <c r="AP22" s="5"/>
    </row>
    <row r="23" spans="36:42" x14ac:dyDescent="0.35">
      <c r="AJ23">
        <f t="shared" si="0"/>
        <v>10</v>
      </c>
      <c r="AO23" s="5">
        <v>20</v>
      </c>
      <c r="AP23" s="5"/>
    </row>
    <row r="24" spans="36:42" x14ac:dyDescent="0.35">
      <c r="AJ24">
        <f t="shared" si="0"/>
        <v>17</v>
      </c>
      <c r="AO24" s="5">
        <v>21</v>
      </c>
      <c r="AP24" s="5"/>
    </row>
    <row r="25" spans="36:42" x14ac:dyDescent="0.35">
      <c r="AJ25">
        <f t="shared" si="0"/>
        <v>19</v>
      </c>
      <c r="AO25" s="5">
        <v>22</v>
      </c>
      <c r="AP25" s="5"/>
    </row>
    <row r="26" spans="36:42" x14ac:dyDescent="0.35">
      <c r="AJ26">
        <f t="shared" si="0"/>
        <v>7</v>
      </c>
      <c r="AO26" s="5">
        <v>23</v>
      </c>
      <c r="AP26" s="5"/>
    </row>
    <row r="27" spans="36:42" x14ac:dyDescent="0.35">
      <c r="AJ27">
        <f t="shared" si="0"/>
        <v>8</v>
      </c>
      <c r="AO27" s="5">
        <v>24</v>
      </c>
      <c r="AP27" s="5"/>
    </row>
    <row r="28" spans="36:42" x14ac:dyDescent="0.35">
      <c r="AJ28">
        <f t="shared" si="0"/>
        <v>9</v>
      </c>
      <c r="AO28" s="5">
        <v>25</v>
      </c>
      <c r="AP28" s="5"/>
    </row>
    <row r="29" spans="36:42" x14ac:dyDescent="0.35">
      <c r="AJ29">
        <f t="shared" si="0"/>
        <v>10</v>
      </c>
      <c r="AO29" s="5">
        <v>26</v>
      </c>
      <c r="AP29" s="5"/>
    </row>
    <row r="30" spans="36:42" x14ac:dyDescent="0.35">
      <c r="AJ30">
        <f t="shared" si="0"/>
        <v>8</v>
      </c>
      <c r="AO30" s="5">
        <v>27</v>
      </c>
      <c r="AP30" s="5"/>
    </row>
    <row r="31" spans="36:42" x14ac:dyDescent="0.35">
      <c r="AJ31">
        <f t="shared" si="0"/>
        <v>13</v>
      </c>
      <c r="AO31" s="5">
        <v>28</v>
      </c>
      <c r="AP31" s="5"/>
    </row>
    <row r="32" spans="36:42" x14ac:dyDescent="0.35">
      <c r="AJ32">
        <f t="shared" si="0"/>
        <v>15</v>
      </c>
      <c r="AO32" s="5">
        <v>29</v>
      </c>
      <c r="AP32" s="5"/>
    </row>
    <row r="33" spans="36:42" x14ac:dyDescent="0.35">
      <c r="AJ33">
        <f t="shared" si="0"/>
        <v>11</v>
      </c>
      <c r="AO33" s="5">
        <v>30</v>
      </c>
      <c r="AP33" s="5"/>
    </row>
    <row r="34" spans="36:42" x14ac:dyDescent="0.35">
      <c r="AJ34">
        <f t="shared" si="0"/>
        <v>0</v>
      </c>
      <c r="AO34" s="5">
        <v>31</v>
      </c>
      <c r="AP34" s="5"/>
    </row>
    <row r="35" spans="36:42" x14ac:dyDescent="0.35">
      <c r="AJ35">
        <f t="shared" si="0"/>
        <v>0</v>
      </c>
      <c r="AO35" s="5">
        <v>32</v>
      </c>
      <c r="AP35" s="5"/>
    </row>
    <row r="36" spans="36:42" x14ac:dyDescent="0.35">
      <c r="AJ36">
        <f t="shared" si="0"/>
        <v>0</v>
      </c>
      <c r="AO36" s="5">
        <v>33</v>
      </c>
      <c r="AP36" s="5"/>
    </row>
    <row r="37" spans="36:42" x14ac:dyDescent="0.35">
      <c r="AJ37">
        <f t="shared" si="0"/>
        <v>0</v>
      </c>
      <c r="AO37" s="5">
        <v>34</v>
      </c>
      <c r="AP37" s="5"/>
    </row>
    <row r="38" spans="36:42" x14ac:dyDescent="0.35">
      <c r="AJ38" t="str">
        <f t="shared" si="0"/>
        <v>Bangamary</v>
      </c>
      <c r="AO38" s="5">
        <v>35</v>
      </c>
      <c r="AP38" s="5"/>
    </row>
    <row r="39" spans="36:42" x14ac:dyDescent="0.35">
      <c r="AJ39">
        <f t="shared" si="0"/>
        <v>16</v>
      </c>
      <c r="AO39" s="5">
        <v>36</v>
      </c>
      <c r="AP39" s="5"/>
    </row>
    <row r="40" spans="36:42" x14ac:dyDescent="0.35">
      <c r="AJ40">
        <f t="shared" si="0"/>
        <v>18</v>
      </c>
      <c r="AO40" s="5">
        <v>37</v>
      </c>
      <c r="AP40" s="5"/>
    </row>
    <row r="41" spans="36:42" x14ac:dyDescent="0.35">
      <c r="AJ41">
        <f t="shared" si="0"/>
        <v>18</v>
      </c>
      <c r="AO41" s="5">
        <v>38</v>
      </c>
      <c r="AP41" s="5"/>
    </row>
    <row r="42" spans="36:42" x14ac:dyDescent="0.35">
      <c r="AJ42">
        <f t="shared" si="0"/>
        <v>18</v>
      </c>
      <c r="AO42" s="5">
        <v>39</v>
      </c>
      <c r="AP42" s="5"/>
    </row>
    <row r="43" spans="36:42" x14ac:dyDescent="0.35">
      <c r="AJ43">
        <f t="shared" si="0"/>
        <v>22</v>
      </c>
      <c r="AO43" s="5">
        <v>40</v>
      </c>
      <c r="AP43" s="5"/>
    </row>
    <row r="44" spans="36:42" x14ac:dyDescent="0.35">
      <c r="AJ44">
        <f t="shared" si="0"/>
        <v>15</v>
      </c>
      <c r="AO44" s="5">
        <v>41</v>
      </c>
      <c r="AP44" s="5"/>
    </row>
    <row r="45" spans="36:42" x14ac:dyDescent="0.35">
      <c r="AJ45">
        <f t="shared" si="0"/>
        <v>19</v>
      </c>
      <c r="AO45" s="5">
        <v>42</v>
      </c>
      <c r="AP45" s="5"/>
    </row>
    <row r="46" spans="36:42" x14ac:dyDescent="0.35">
      <c r="AJ46">
        <f t="shared" si="0"/>
        <v>18</v>
      </c>
      <c r="AO46" s="5">
        <v>43</v>
      </c>
      <c r="AP46" s="5"/>
    </row>
    <row r="47" spans="36:42" x14ac:dyDescent="0.35">
      <c r="AJ47">
        <f t="shared" si="0"/>
        <v>22</v>
      </c>
      <c r="AO47" s="5">
        <v>44</v>
      </c>
      <c r="AP47" s="5"/>
    </row>
    <row r="48" spans="36:42" x14ac:dyDescent="0.35">
      <c r="AJ48">
        <f t="shared" si="0"/>
        <v>15</v>
      </c>
      <c r="AO48" s="5">
        <v>45</v>
      </c>
      <c r="AP48" s="5"/>
    </row>
    <row r="49" spans="36:42" x14ac:dyDescent="0.35">
      <c r="AJ49">
        <f t="shared" si="0"/>
        <v>22</v>
      </c>
      <c r="AO49" s="5">
        <v>46</v>
      </c>
      <c r="AP49" s="5"/>
    </row>
    <row r="50" spans="36:42" x14ac:dyDescent="0.35">
      <c r="AJ50">
        <f t="shared" si="0"/>
        <v>9</v>
      </c>
      <c r="AO50" s="5">
        <v>47</v>
      </c>
      <c r="AP50" s="5"/>
    </row>
    <row r="51" spans="36:42" x14ac:dyDescent="0.35">
      <c r="AJ51">
        <f t="shared" si="0"/>
        <v>11</v>
      </c>
      <c r="AO51" s="5">
        <v>48</v>
      </c>
      <c r="AP51" s="5"/>
    </row>
    <row r="52" spans="36:42" x14ac:dyDescent="0.35">
      <c r="AJ52">
        <f t="shared" si="0"/>
        <v>18</v>
      </c>
      <c r="AO52" s="5">
        <v>49</v>
      </c>
      <c r="AP52" s="5"/>
    </row>
    <row r="53" spans="36:42" x14ac:dyDescent="0.35">
      <c r="AJ53">
        <f t="shared" si="0"/>
        <v>13</v>
      </c>
      <c r="AO53" s="5">
        <v>50</v>
      </c>
      <c r="AP53" s="5"/>
    </row>
    <row r="54" spans="36:42" x14ac:dyDescent="0.35">
      <c r="AJ54">
        <f t="shared" si="0"/>
        <v>13</v>
      </c>
      <c r="AO54" s="5">
        <v>51</v>
      </c>
      <c r="AP54" s="5"/>
    </row>
    <row r="55" spans="36:42" x14ac:dyDescent="0.35">
      <c r="AJ55">
        <f t="shared" si="0"/>
        <v>12</v>
      </c>
      <c r="AO55" s="5">
        <v>52</v>
      </c>
      <c r="AP55" s="5"/>
    </row>
    <row r="56" spans="36:42" x14ac:dyDescent="0.35">
      <c r="AJ56">
        <f t="shared" si="0"/>
        <v>15</v>
      </c>
      <c r="AO56" s="5">
        <v>53</v>
      </c>
      <c r="AP56" s="5"/>
    </row>
    <row r="57" spans="36:42" x14ac:dyDescent="0.35">
      <c r="AJ57">
        <f t="shared" si="0"/>
        <v>20</v>
      </c>
      <c r="AO57" s="5">
        <v>54</v>
      </c>
      <c r="AP57" s="5"/>
    </row>
    <row r="58" spans="36:42" x14ac:dyDescent="0.35">
      <c r="AJ58">
        <f t="shared" si="0"/>
        <v>10</v>
      </c>
      <c r="AO58" s="5">
        <v>55</v>
      </c>
      <c r="AP58" s="5"/>
    </row>
    <row r="59" spans="36:42" x14ac:dyDescent="0.35">
      <c r="AJ59">
        <f t="shared" si="0"/>
        <v>10</v>
      </c>
      <c r="AO59" s="5">
        <v>56</v>
      </c>
      <c r="AP59" s="5"/>
    </row>
    <row r="60" spans="36:42" x14ac:dyDescent="0.35">
      <c r="AJ60">
        <f t="shared" si="0"/>
        <v>13</v>
      </c>
      <c r="AO60" s="5">
        <v>57</v>
      </c>
      <c r="AP60" s="5"/>
    </row>
    <row r="61" spans="36:42" x14ac:dyDescent="0.35">
      <c r="AJ61">
        <f t="shared" si="0"/>
        <v>18</v>
      </c>
      <c r="AO61" s="5">
        <v>58</v>
      </c>
      <c r="AP61" s="5"/>
    </row>
    <row r="62" spans="36:42" x14ac:dyDescent="0.35">
      <c r="AJ62">
        <f t="shared" si="0"/>
        <v>20</v>
      </c>
      <c r="AO62" s="5">
        <v>59</v>
      </c>
      <c r="AP62" s="5"/>
    </row>
    <row r="63" spans="36:42" x14ac:dyDescent="0.35">
      <c r="AJ63">
        <f t="shared" si="0"/>
        <v>23</v>
      </c>
      <c r="AO63" s="5">
        <v>60</v>
      </c>
      <c r="AP63" s="5"/>
    </row>
    <row r="64" spans="36:42" x14ac:dyDescent="0.35">
      <c r="AJ64">
        <f t="shared" si="0"/>
        <v>16</v>
      </c>
      <c r="AO64" s="5">
        <v>61</v>
      </c>
      <c r="AP64" s="5"/>
    </row>
    <row r="65" spans="36:42" x14ac:dyDescent="0.35">
      <c r="AJ65">
        <f t="shared" si="0"/>
        <v>9</v>
      </c>
      <c r="AO65" s="5">
        <v>62</v>
      </c>
      <c r="AP65" s="5"/>
    </row>
    <row r="66" spans="36:42" x14ac:dyDescent="0.35">
      <c r="AJ66">
        <f t="shared" si="0"/>
        <v>13</v>
      </c>
      <c r="AO66" s="5">
        <v>63</v>
      </c>
      <c r="AP66" s="5"/>
    </row>
    <row r="67" spans="36:42" x14ac:dyDescent="0.35">
      <c r="AJ67">
        <f t="shared" si="0"/>
        <v>8</v>
      </c>
      <c r="AO67" s="5">
        <v>64</v>
      </c>
      <c r="AP67" s="5"/>
    </row>
    <row r="68" spans="36:42" x14ac:dyDescent="0.35">
      <c r="AJ68">
        <f t="shared" ref="AJ68:AJ99" si="1">INDEX($A$3:$AI$20,1+INT((ROW(A66)-1)/COLUMNS($A$3:$AI$20)),MOD(ROW(A66)-1+COLUMNS($A$3:$AI$20),COLUMNS($A$3:$AI$20))+1)</f>
        <v>10</v>
      </c>
      <c r="AO68" s="5">
        <v>65</v>
      </c>
      <c r="AP68" s="5"/>
    </row>
    <row r="69" spans="36:42" x14ac:dyDescent="0.35">
      <c r="AJ69">
        <f t="shared" si="1"/>
        <v>0</v>
      </c>
      <c r="AO69" s="5">
        <v>66</v>
      </c>
      <c r="AP69" s="5"/>
    </row>
    <row r="70" spans="36:42" x14ac:dyDescent="0.35">
      <c r="AJ70">
        <f t="shared" si="1"/>
        <v>0</v>
      </c>
      <c r="AO70" s="5">
        <v>67</v>
      </c>
      <c r="AP70" s="5"/>
    </row>
    <row r="71" spans="36:42" x14ac:dyDescent="0.35">
      <c r="AJ71">
        <f t="shared" si="1"/>
        <v>0</v>
      </c>
      <c r="AO71" s="5">
        <v>68</v>
      </c>
      <c r="AP71" s="5"/>
    </row>
    <row r="72" spans="36:42" x14ac:dyDescent="0.35">
      <c r="AJ72">
        <f t="shared" si="1"/>
        <v>0</v>
      </c>
      <c r="AO72" s="5">
        <v>69</v>
      </c>
      <c r="AP72" s="5"/>
    </row>
    <row r="73" spans="36:42" x14ac:dyDescent="0.35">
      <c r="AJ73" t="str">
        <f t="shared" si="1"/>
        <v>Croaker (LM)</v>
      </c>
      <c r="AO73" s="5">
        <v>70</v>
      </c>
      <c r="AP73" s="5"/>
    </row>
    <row r="74" spans="36:42" x14ac:dyDescent="0.35">
      <c r="AJ74">
        <f t="shared" si="1"/>
        <v>14</v>
      </c>
      <c r="AO74" s="5">
        <v>71</v>
      </c>
      <c r="AP74" s="5"/>
    </row>
    <row r="75" spans="36:42" x14ac:dyDescent="0.35">
      <c r="AJ75">
        <f t="shared" si="1"/>
        <v>18</v>
      </c>
      <c r="AO75" s="5">
        <v>72</v>
      </c>
      <c r="AP75" s="5"/>
    </row>
    <row r="76" spans="36:42" x14ac:dyDescent="0.35">
      <c r="AJ76">
        <f t="shared" si="1"/>
        <v>15</v>
      </c>
      <c r="AO76" s="5">
        <v>73</v>
      </c>
      <c r="AP76" s="5"/>
    </row>
    <row r="77" spans="36:42" x14ac:dyDescent="0.35">
      <c r="AJ77">
        <f t="shared" si="1"/>
        <v>11</v>
      </c>
      <c r="AO77" s="5">
        <v>74</v>
      </c>
      <c r="AP77" s="5"/>
    </row>
    <row r="78" spans="36:42" x14ac:dyDescent="0.35">
      <c r="AJ78">
        <f t="shared" si="1"/>
        <v>15</v>
      </c>
      <c r="AO78" s="5">
        <v>75</v>
      </c>
      <c r="AP78" s="5"/>
    </row>
    <row r="79" spans="36:42" x14ac:dyDescent="0.35">
      <c r="AJ79">
        <f t="shared" si="1"/>
        <v>15</v>
      </c>
      <c r="AO79" s="5">
        <v>76</v>
      </c>
      <c r="AP79" s="5"/>
    </row>
    <row r="80" spans="36:42" x14ac:dyDescent="0.35">
      <c r="AJ80">
        <f t="shared" si="1"/>
        <v>8</v>
      </c>
      <c r="AO80" s="5">
        <v>77</v>
      </c>
      <c r="AP80" s="5"/>
    </row>
    <row r="81" spans="36:42" x14ac:dyDescent="0.35">
      <c r="AJ81">
        <f t="shared" si="1"/>
        <v>8</v>
      </c>
      <c r="AO81" s="5">
        <v>78</v>
      </c>
      <c r="AP81" s="5"/>
    </row>
    <row r="82" spans="36:42" x14ac:dyDescent="0.35">
      <c r="AJ82">
        <f t="shared" si="1"/>
        <v>7</v>
      </c>
      <c r="AO82" s="5">
        <v>79</v>
      </c>
      <c r="AP82" s="5"/>
    </row>
    <row r="83" spans="36:42" x14ac:dyDescent="0.35">
      <c r="AJ83">
        <f t="shared" si="1"/>
        <v>10</v>
      </c>
      <c r="AO83" s="5">
        <v>80</v>
      </c>
      <c r="AP83" s="5"/>
    </row>
    <row r="84" spans="36:42" x14ac:dyDescent="0.35">
      <c r="AJ84">
        <f t="shared" si="1"/>
        <v>8</v>
      </c>
      <c r="AO84" s="5">
        <v>81</v>
      </c>
      <c r="AP84" s="5"/>
    </row>
    <row r="85" spans="36:42" x14ac:dyDescent="0.35">
      <c r="AJ85">
        <f t="shared" si="1"/>
        <v>9</v>
      </c>
      <c r="AO85" s="5">
        <v>82</v>
      </c>
      <c r="AP85" s="5"/>
    </row>
    <row r="86" spans="36:42" x14ac:dyDescent="0.35">
      <c r="AJ86">
        <f t="shared" si="1"/>
        <v>13</v>
      </c>
      <c r="AO86" s="5">
        <v>83</v>
      </c>
      <c r="AP86" s="5"/>
    </row>
    <row r="87" spans="36:42" x14ac:dyDescent="0.35">
      <c r="AJ87">
        <f t="shared" si="1"/>
        <v>13</v>
      </c>
      <c r="AO87" s="5">
        <v>84</v>
      </c>
      <c r="AP87" s="5"/>
    </row>
    <row r="88" spans="36:42" x14ac:dyDescent="0.35">
      <c r="AJ88">
        <f t="shared" si="1"/>
        <v>18</v>
      </c>
      <c r="AO88" s="5">
        <v>85</v>
      </c>
      <c r="AP88" s="5"/>
    </row>
    <row r="89" spans="36:42" x14ac:dyDescent="0.35">
      <c r="AJ89">
        <f t="shared" si="1"/>
        <v>17</v>
      </c>
      <c r="AO89" s="5">
        <v>86</v>
      </c>
      <c r="AP89" s="5"/>
    </row>
    <row r="90" spans="36:42" x14ac:dyDescent="0.35">
      <c r="AJ90">
        <f t="shared" si="1"/>
        <v>8</v>
      </c>
      <c r="AO90" s="5">
        <v>87</v>
      </c>
      <c r="AP90" s="5"/>
    </row>
    <row r="91" spans="36:42" x14ac:dyDescent="0.35">
      <c r="AJ91">
        <f t="shared" si="1"/>
        <v>8</v>
      </c>
      <c r="AO91" s="5">
        <v>88</v>
      </c>
      <c r="AP91" s="5"/>
    </row>
    <row r="92" spans="36:42" x14ac:dyDescent="0.35">
      <c r="AJ92">
        <f t="shared" si="1"/>
        <v>10</v>
      </c>
      <c r="AO92" s="5">
        <v>89</v>
      </c>
      <c r="AP92" s="5"/>
    </row>
    <row r="93" spans="36:42" x14ac:dyDescent="0.35">
      <c r="AJ93">
        <f t="shared" si="1"/>
        <v>9</v>
      </c>
      <c r="AO93" s="5">
        <v>90</v>
      </c>
      <c r="AP93" s="5"/>
    </row>
    <row r="94" spans="36:42" x14ac:dyDescent="0.35">
      <c r="AJ94">
        <f t="shared" si="1"/>
        <v>12</v>
      </c>
      <c r="AO94" s="5">
        <v>91</v>
      </c>
      <c r="AP94" s="5"/>
    </row>
    <row r="95" spans="36:42" x14ac:dyDescent="0.35">
      <c r="AJ95">
        <f t="shared" si="1"/>
        <v>11</v>
      </c>
      <c r="AO95" s="5">
        <v>92</v>
      </c>
      <c r="AP95" s="5"/>
    </row>
    <row r="96" spans="36:42" x14ac:dyDescent="0.35">
      <c r="AJ96">
        <f t="shared" si="1"/>
        <v>9</v>
      </c>
      <c r="AO96" s="5">
        <v>93</v>
      </c>
      <c r="AP96" s="5"/>
    </row>
    <row r="97" spans="36:42" x14ac:dyDescent="0.35">
      <c r="AJ97">
        <f t="shared" si="1"/>
        <v>17</v>
      </c>
      <c r="AO97" s="5">
        <v>94</v>
      </c>
      <c r="AP97" s="5"/>
    </row>
    <row r="98" spans="36:42" x14ac:dyDescent="0.35">
      <c r="AJ98">
        <f t="shared" si="1"/>
        <v>19</v>
      </c>
      <c r="AO98" s="5">
        <v>95</v>
      </c>
      <c r="AP98" s="5"/>
    </row>
    <row r="99" spans="36:42" x14ac:dyDescent="0.35">
      <c r="AJ99">
        <f t="shared" si="1"/>
        <v>17</v>
      </c>
      <c r="AO99" s="5">
        <v>96</v>
      </c>
      <c r="AP99" s="5"/>
    </row>
    <row r="100" spans="36:42" x14ac:dyDescent="0.35">
      <c r="AJ100">
        <f>INDEX($A$3:$AI$20,1+INT((ROW(A98)-1)/COLUMNS($A$3:$AI$20)),MOD(ROW(A98)-1+COLUMNS($A$3:$AI$20),COLUMNS($A$3:$AI$20))+1)</f>
        <v>13</v>
      </c>
      <c r="AO100" s="5">
        <v>97</v>
      </c>
      <c r="AP100" s="5"/>
    </row>
    <row r="101" spans="36:42" x14ac:dyDescent="0.35">
      <c r="AJ101">
        <f t="shared" ref="AJ101:AJ164" si="2">INDEX($A$3:$AI$20,1+INT((ROW(A99)-1)/COLUMNS($A$3:$AI$20)),MOD(ROW(A99)-1+COLUMNS($A$3:$AI$20),COLUMNS($A$3:$AI$20))+1)</f>
        <v>9</v>
      </c>
      <c r="AO101" s="5">
        <v>98</v>
      </c>
      <c r="AP101" s="5"/>
    </row>
    <row r="102" spans="36:42" x14ac:dyDescent="0.35">
      <c r="AJ102">
        <f t="shared" si="2"/>
        <v>12</v>
      </c>
      <c r="AO102" s="5">
        <v>99</v>
      </c>
      <c r="AP102" s="5"/>
    </row>
    <row r="103" spans="36:42" x14ac:dyDescent="0.35">
      <c r="AJ103">
        <f t="shared" si="2"/>
        <v>16</v>
      </c>
      <c r="AO103" s="5">
        <v>100</v>
      </c>
      <c r="AP103" s="5"/>
    </row>
    <row r="104" spans="36:42" x14ac:dyDescent="0.35">
      <c r="AJ104">
        <f t="shared" si="2"/>
        <v>0</v>
      </c>
    </row>
    <row r="105" spans="36:42" x14ac:dyDescent="0.35">
      <c r="AJ105">
        <f t="shared" si="2"/>
        <v>0</v>
      </c>
    </row>
    <row r="106" spans="36:42" x14ac:dyDescent="0.35">
      <c r="AJ106">
        <f t="shared" si="2"/>
        <v>0</v>
      </c>
    </row>
    <row r="107" spans="36:42" x14ac:dyDescent="0.35">
      <c r="AJ107">
        <f t="shared" si="2"/>
        <v>0</v>
      </c>
    </row>
    <row r="108" spans="36:42" x14ac:dyDescent="0.35">
      <c r="AJ108" t="str">
        <f t="shared" si="2"/>
        <v>Croaker (RM)</v>
      </c>
    </row>
    <row r="109" spans="36:42" x14ac:dyDescent="0.35">
      <c r="AJ109">
        <f t="shared" si="2"/>
        <v>10</v>
      </c>
    </row>
    <row r="110" spans="36:42" x14ac:dyDescent="0.35">
      <c r="AJ110">
        <f t="shared" si="2"/>
        <v>9</v>
      </c>
    </row>
    <row r="111" spans="36:42" x14ac:dyDescent="0.35">
      <c r="AJ111">
        <f t="shared" si="2"/>
        <v>17</v>
      </c>
    </row>
    <row r="112" spans="36:42" x14ac:dyDescent="0.35">
      <c r="AJ112">
        <f t="shared" si="2"/>
        <v>9</v>
      </c>
    </row>
    <row r="113" spans="36:36" x14ac:dyDescent="0.35">
      <c r="AJ113">
        <f t="shared" si="2"/>
        <v>8</v>
      </c>
    </row>
    <row r="114" spans="36:36" x14ac:dyDescent="0.35">
      <c r="AJ114">
        <f t="shared" si="2"/>
        <v>8</v>
      </c>
    </row>
    <row r="115" spans="36:36" x14ac:dyDescent="0.35">
      <c r="AJ115">
        <f t="shared" si="2"/>
        <v>7</v>
      </c>
    </row>
    <row r="116" spans="36:36" x14ac:dyDescent="0.35">
      <c r="AJ116">
        <f t="shared" si="2"/>
        <v>8</v>
      </c>
    </row>
    <row r="117" spans="36:36" x14ac:dyDescent="0.35">
      <c r="AJ117">
        <f t="shared" si="2"/>
        <v>15</v>
      </c>
    </row>
    <row r="118" spans="36:36" x14ac:dyDescent="0.35">
      <c r="AJ118">
        <f t="shared" si="2"/>
        <v>9</v>
      </c>
    </row>
    <row r="119" spans="36:36" x14ac:dyDescent="0.35">
      <c r="AJ119">
        <f t="shared" si="2"/>
        <v>15</v>
      </c>
    </row>
    <row r="120" spans="36:36" x14ac:dyDescent="0.35">
      <c r="AJ120">
        <f t="shared" si="2"/>
        <v>9</v>
      </c>
    </row>
    <row r="121" spans="36:36" x14ac:dyDescent="0.35">
      <c r="AJ121">
        <f t="shared" si="2"/>
        <v>10</v>
      </c>
    </row>
    <row r="122" spans="36:36" x14ac:dyDescent="0.35">
      <c r="AJ122">
        <f t="shared" si="2"/>
        <v>11</v>
      </c>
    </row>
    <row r="123" spans="36:36" x14ac:dyDescent="0.35">
      <c r="AJ123">
        <f t="shared" si="2"/>
        <v>9</v>
      </c>
    </row>
    <row r="124" spans="36:36" x14ac:dyDescent="0.35">
      <c r="AJ124">
        <f t="shared" si="2"/>
        <v>8</v>
      </c>
    </row>
    <row r="125" spans="36:36" x14ac:dyDescent="0.35">
      <c r="AJ125">
        <f t="shared" si="2"/>
        <v>8</v>
      </c>
    </row>
    <row r="126" spans="36:36" x14ac:dyDescent="0.35">
      <c r="AJ126">
        <f t="shared" si="2"/>
        <v>10</v>
      </c>
    </row>
    <row r="127" spans="36:36" x14ac:dyDescent="0.35">
      <c r="AJ127">
        <f t="shared" si="2"/>
        <v>8</v>
      </c>
    </row>
    <row r="128" spans="36:36" x14ac:dyDescent="0.35">
      <c r="AJ128">
        <f t="shared" si="2"/>
        <v>8</v>
      </c>
    </row>
    <row r="129" spans="36:36" x14ac:dyDescent="0.35">
      <c r="AJ129">
        <f t="shared" si="2"/>
        <v>9</v>
      </c>
    </row>
    <row r="130" spans="36:36" x14ac:dyDescent="0.35">
      <c r="AJ130">
        <f t="shared" si="2"/>
        <v>8</v>
      </c>
    </row>
    <row r="131" spans="36:36" x14ac:dyDescent="0.35">
      <c r="AJ131">
        <f t="shared" si="2"/>
        <v>8</v>
      </c>
    </row>
    <row r="132" spans="36:36" x14ac:dyDescent="0.35">
      <c r="AJ132">
        <f t="shared" si="2"/>
        <v>8</v>
      </c>
    </row>
    <row r="133" spans="36:36" x14ac:dyDescent="0.35">
      <c r="AJ133">
        <f t="shared" si="2"/>
        <v>15</v>
      </c>
    </row>
    <row r="134" spans="36:36" x14ac:dyDescent="0.35">
      <c r="AJ134">
        <f t="shared" si="2"/>
        <v>11</v>
      </c>
    </row>
    <row r="135" spans="36:36" x14ac:dyDescent="0.35">
      <c r="AJ135">
        <f t="shared" si="2"/>
        <v>8</v>
      </c>
    </row>
    <row r="136" spans="36:36" x14ac:dyDescent="0.35">
      <c r="AJ136">
        <f t="shared" si="2"/>
        <v>15</v>
      </c>
    </row>
    <row r="137" spans="36:36" x14ac:dyDescent="0.35">
      <c r="AJ137">
        <f t="shared" si="2"/>
        <v>10</v>
      </c>
    </row>
    <row r="138" spans="36:36" x14ac:dyDescent="0.35">
      <c r="AJ138">
        <f t="shared" si="2"/>
        <v>8</v>
      </c>
    </row>
    <row r="139" spans="36:36" x14ac:dyDescent="0.35">
      <c r="AJ139">
        <f t="shared" si="2"/>
        <v>8</v>
      </c>
    </row>
    <row r="140" spans="36:36" x14ac:dyDescent="0.35">
      <c r="AJ140">
        <f t="shared" si="2"/>
        <v>0</v>
      </c>
    </row>
    <row r="141" spans="36:36" x14ac:dyDescent="0.35">
      <c r="AJ141">
        <f t="shared" si="2"/>
        <v>0</v>
      </c>
    </row>
    <row r="142" spans="36:36" x14ac:dyDescent="0.35">
      <c r="AJ142">
        <f t="shared" si="2"/>
        <v>0</v>
      </c>
    </row>
    <row r="143" spans="36:36" x14ac:dyDescent="0.35">
      <c r="AJ143" t="str">
        <f t="shared" si="2"/>
        <v>Cat fish</v>
      </c>
    </row>
    <row r="144" spans="36:36" x14ac:dyDescent="0.35">
      <c r="AJ144">
        <f t="shared" si="2"/>
        <v>15</v>
      </c>
    </row>
    <row r="145" spans="36:36" x14ac:dyDescent="0.35">
      <c r="AJ145">
        <f t="shared" si="2"/>
        <v>11</v>
      </c>
    </row>
    <row r="146" spans="36:36" x14ac:dyDescent="0.35">
      <c r="AJ146">
        <f t="shared" si="2"/>
        <v>10</v>
      </c>
    </row>
    <row r="147" spans="36:36" x14ac:dyDescent="0.35">
      <c r="AJ147">
        <f t="shared" si="2"/>
        <v>11</v>
      </c>
    </row>
    <row r="148" spans="36:36" x14ac:dyDescent="0.35">
      <c r="AJ148">
        <f t="shared" si="2"/>
        <v>12</v>
      </c>
    </row>
    <row r="149" spans="36:36" x14ac:dyDescent="0.35">
      <c r="AJ149">
        <f t="shared" si="2"/>
        <v>8</v>
      </c>
    </row>
    <row r="150" spans="36:36" x14ac:dyDescent="0.35">
      <c r="AJ150">
        <f t="shared" si="2"/>
        <v>6</v>
      </c>
    </row>
    <row r="151" spans="36:36" x14ac:dyDescent="0.35">
      <c r="AJ151">
        <f t="shared" si="2"/>
        <v>11</v>
      </c>
    </row>
    <row r="152" spans="36:36" x14ac:dyDescent="0.35">
      <c r="AJ152">
        <f t="shared" si="2"/>
        <v>8</v>
      </c>
    </row>
    <row r="153" spans="36:36" x14ac:dyDescent="0.35">
      <c r="AJ153">
        <f t="shared" si="2"/>
        <v>7</v>
      </c>
    </row>
    <row r="154" spans="36:36" x14ac:dyDescent="0.35">
      <c r="AJ154">
        <f t="shared" si="2"/>
        <v>8</v>
      </c>
    </row>
    <row r="155" spans="36:36" x14ac:dyDescent="0.35">
      <c r="AJ155">
        <f t="shared" si="2"/>
        <v>9</v>
      </c>
    </row>
    <row r="156" spans="36:36" x14ac:dyDescent="0.35">
      <c r="AJ156">
        <f t="shared" si="2"/>
        <v>11</v>
      </c>
    </row>
    <row r="157" spans="36:36" x14ac:dyDescent="0.35">
      <c r="AJ157">
        <f t="shared" si="2"/>
        <v>7</v>
      </c>
    </row>
    <row r="158" spans="36:36" x14ac:dyDescent="0.35">
      <c r="AJ158">
        <f t="shared" si="2"/>
        <v>6</v>
      </c>
    </row>
    <row r="159" spans="36:36" x14ac:dyDescent="0.35">
      <c r="AJ159">
        <f t="shared" si="2"/>
        <v>9</v>
      </c>
    </row>
    <row r="160" spans="36:36" x14ac:dyDescent="0.35">
      <c r="AJ160">
        <f t="shared" si="2"/>
        <v>8</v>
      </c>
    </row>
    <row r="161" spans="36:36" x14ac:dyDescent="0.35">
      <c r="AJ161">
        <f t="shared" si="2"/>
        <v>8</v>
      </c>
    </row>
    <row r="162" spans="36:36" x14ac:dyDescent="0.35">
      <c r="AJ162">
        <f t="shared" si="2"/>
        <v>9</v>
      </c>
    </row>
    <row r="163" spans="36:36" x14ac:dyDescent="0.35">
      <c r="AJ163">
        <f t="shared" si="2"/>
        <v>8</v>
      </c>
    </row>
    <row r="164" spans="36:36" x14ac:dyDescent="0.35">
      <c r="AJ164">
        <f t="shared" si="2"/>
        <v>7</v>
      </c>
    </row>
    <row r="165" spans="36:36" x14ac:dyDescent="0.35">
      <c r="AJ165">
        <f t="shared" ref="AJ165:AJ228" si="3">INDEX($A$3:$AI$20,1+INT((ROW(A163)-1)/COLUMNS($A$3:$AI$20)),MOD(ROW(A163)-1+COLUMNS($A$3:$AI$20),COLUMNS($A$3:$AI$20))+1)</f>
        <v>14</v>
      </c>
    </row>
    <row r="166" spans="36:36" x14ac:dyDescent="0.35">
      <c r="AJ166">
        <f t="shared" si="3"/>
        <v>8</v>
      </c>
    </row>
    <row r="167" spans="36:36" x14ac:dyDescent="0.35">
      <c r="AJ167">
        <f t="shared" si="3"/>
        <v>10</v>
      </c>
    </row>
    <row r="168" spans="36:36" x14ac:dyDescent="0.35">
      <c r="AJ168">
        <f t="shared" si="3"/>
        <v>8</v>
      </c>
    </row>
    <row r="169" spans="36:36" x14ac:dyDescent="0.35">
      <c r="AJ169">
        <f t="shared" si="3"/>
        <v>9</v>
      </c>
    </row>
    <row r="170" spans="36:36" x14ac:dyDescent="0.35">
      <c r="AJ170">
        <f t="shared" si="3"/>
        <v>10</v>
      </c>
    </row>
    <row r="171" spans="36:36" x14ac:dyDescent="0.35">
      <c r="AJ171">
        <f t="shared" si="3"/>
        <v>10</v>
      </c>
    </row>
    <row r="172" spans="36:36" x14ac:dyDescent="0.35">
      <c r="AJ172">
        <f t="shared" si="3"/>
        <v>9</v>
      </c>
    </row>
    <row r="173" spans="36:36" x14ac:dyDescent="0.35">
      <c r="AJ173">
        <f t="shared" si="3"/>
        <v>11</v>
      </c>
    </row>
    <row r="174" spans="36:36" x14ac:dyDescent="0.35">
      <c r="AJ174">
        <f t="shared" si="3"/>
        <v>0</v>
      </c>
    </row>
    <row r="175" spans="36:36" x14ac:dyDescent="0.35">
      <c r="AJ175">
        <f t="shared" si="3"/>
        <v>0</v>
      </c>
    </row>
    <row r="176" spans="36:36" x14ac:dyDescent="0.35">
      <c r="AJ176">
        <f t="shared" si="3"/>
        <v>0</v>
      </c>
    </row>
    <row r="177" spans="36:36" x14ac:dyDescent="0.35">
      <c r="AJ177">
        <f t="shared" si="3"/>
        <v>0</v>
      </c>
    </row>
    <row r="178" spans="36:36" x14ac:dyDescent="0.35">
      <c r="AJ178">
        <f t="shared" si="3"/>
        <v>0</v>
      </c>
    </row>
    <row r="179" spans="36:36" x14ac:dyDescent="0.35">
      <c r="AJ179">
        <f t="shared" si="3"/>
        <v>0</v>
      </c>
    </row>
    <row r="180" spans="36:36" x14ac:dyDescent="0.35">
      <c r="AJ180">
        <f t="shared" si="3"/>
        <v>0</v>
      </c>
    </row>
    <row r="181" spans="36:36" x14ac:dyDescent="0.35">
      <c r="AJ181">
        <f t="shared" si="3"/>
        <v>0</v>
      </c>
    </row>
    <row r="182" spans="36:36" x14ac:dyDescent="0.35">
      <c r="AJ182">
        <f t="shared" si="3"/>
        <v>0</v>
      </c>
    </row>
    <row r="183" spans="36:36" x14ac:dyDescent="0.35">
      <c r="AJ183">
        <f t="shared" si="3"/>
        <v>0</v>
      </c>
    </row>
    <row r="184" spans="36:36" x14ac:dyDescent="0.35">
      <c r="AJ184">
        <f t="shared" si="3"/>
        <v>0</v>
      </c>
    </row>
    <row r="185" spans="36:36" x14ac:dyDescent="0.35">
      <c r="AJ185">
        <f t="shared" si="3"/>
        <v>0</v>
      </c>
    </row>
    <row r="186" spans="36:36" x14ac:dyDescent="0.35">
      <c r="AJ186">
        <f t="shared" si="3"/>
        <v>0</v>
      </c>
    </row>
    <row r="187" spans="36:36" x14ac:dyDescent="0.35">
      <c r="AJ187">
        <f t="shared" si="3"/>
        <v>0</v>
      </c>
    </row>
    <row r="188" spans="36:36" x14ac:dyDescent="0.35">
      <c r="AJ188">
        <f t="shared" si="3"/>
        <v>0</v>
      </c>
    </row>
    <row r="189" spans="36:36" x14ac:dyDescent="0.35">
      <c r="AJ189">
        <f t="shared" si="3"/>
        <v>0</v>
      </c>
    </row>
    <row r="190" spans="36:36" x14ac:dyDescent="0.35">
      <c r="AJ190">
        <f t="shared" si="3"/>
        <v>0</v>
      </c>
    </row>
    <row r="191" spans="36:36" x14ac:dyDescent="0.35">
      <c r="AJ191">
        <f t="shared" si="3"/>
        <v>0</v>
      </c>
    </row>
    <row r="192" spans="36:36" x14ac:dyDescent="0.35">
      <c r="AJ192">
        <f t="shared" si="3"/>
        <v>0</v>
      </c>
    </row>
    <row r="193" spans="36:36" x14ac:dyDescent="0.35">
      <c r="AJ193">
        <f t="shared" si="3"/>
        <v>0</v>
      </c>
    </row>
    <row r="194" spans="36:36" x14ac:dyDescent="0.35">
      <c r="AJ194">
        <f t="shared" si="3"/>
        <v>0</v>
      </c>
    </row>
    <row r="195" spans="36:36" x14ac:dyDescent="0.35">
      <c r="AJ195">
        <f t="shared" si="3"/>
        <v>0</v>
      </c>
    </row>
    <row r="196" spans="36:36" x14ac:dyDescent="0.35">
      <c r="AJ196">
        <f t="shared" si="3"/>
        <v>0</v>
      </c>
    </row>
    <row r="197" spans="36:36" x14ac:dyDescent="0.35">
      <c r="AJ197">
        <f t="shared" si="3"/>
        <v>0</v>
      </c>
    </row>
    <row r="198" spans="36:36" x14ac:dyDescent="0.35">
      <c r="AJ198">
        <f t="shared" si="3"/>
        <v>0</v>
      </c>
    </row>
    <row r="199" spans="36:36" x14ac:dyDescent="0.35">
      <c r="AJ199">
        <f t="shared" si="3"/>
        <v>0</v>
      </c>
    </row>
    <row r="200" spans="36:36" x14ac:dyDescent="0.35">
      <c r="AJ200">
        <f t="shared" si="3"/>
        <v>0</v>
      </c>
    </row>
    <row r="201" spans="36:36" x14ac:dyDescent="0.35">
      <c r="AJ201">
        <f t="shared" si="3"/>
        <v>0</v>
      </c>
    </row>
    <row r="202" spans="36:36" x14ac:dyDescent="0.35">
      <c r="AJ202">
        <f t="shared" si="3"/>
        <v>0</v>
      </c>
    </row>
    <row r="203" spans="36:36" x14ac:dyDescent="0.35">
      <c r="AJ203">
        <f t="shared" si="3"/>
        <v>0</v>
      </c>
    </row>
    <row r="204" spans="36:36" x14ac:dyDescent="0.35">
      <c r="AJ204">
        <f t="shared" si="3"/>
        <v>0</v>
      </c>
    </row>
    <row r="205" spans="36:36" x14ac:dyDescent="0.35">
      <c r="AJ205">
        <f t="shared" si="3"/>
        <v>0</v>
      </c>
    </row>
    <row r="206" spans="36:36" x14ac:dyDescent="0.35">
      <c r="AJ206">
        <f t="shared" si="3"/>
        <v>0</v>
      </c>
    </row>
    <row r="207" spans="36:36" x14ac:dyDescent="0.35">
      <c r="AJ207">
        <f t="shared" si="3"/>
        <v>0</v>
      </c>
    </row>
    <row r="208" spans="36:36" x14ac:dyDescent="0.35">
      <c r="AJ208">
        <f t="shared" si="3"/>
        <v>0</v>
      </c>
    </row>
    <row r="209" spans="36:36" x14ac:dyDescent="0.35">
      <c r="AJ209">
        <f t="shared" si="3"/>
        <v>0</v>
      </c>
    </row>
    <row r="210" spans="36:36" x14ac:dyDescent="0.35">
      <c r="AJ210">
        <f t="shared" si="3"/>
        <v>0</v>
      </c>
    </row>
    <row r="211" spans="36:36" x14ac:dyDescent="0.35">
      <c r="AJ211">
        <f t="shared" si="3"/>
        <v>0</v>
      </c>
    </row>
    <row r="212" spans="36:36" x14ac:dyDescent="0.35">
      <c r="AJ212">
        <f t="shared" si="3"/>
        <v>0</v>
      </c>
    </row>
    <row r="213" spans="36:36" x14ac:dyDescent="0.35">
      <c r="AJ213">
        <f t="shared" si="3"/>
        <v>0</v>
      </c>
    </row>
    <row r="214" spans="36:36" x14ac:dyDescent="0.35">
      <c r="AJ214">
        <f t="shared" si="3"/>
        <v>0</v>
      </c>
    </row>
    <row r="215" spans="36:36" x14ac:dyDescent="0.35">
      <c r="AJ215">
        <f t="shared" si="3"/>
        <v>0</v>
      </c>
    </row>
    <row r="216" spans="36:36" x14ac:dyDescent="0.35">
      <c r="AJ216">
        <f t="shared" si="3"/>
        <v>0</v>
      </c>
    </row>
    <row r="217" spans="36:36" x14ac:dyDescent="0.35">
      <c r="AJ217">
        <f t="shared" si="3"/>
        <v>0</v>
      </c>
    </row>
    <row r="218" spans="36:36" x14ac:dyDescent="0.35">
      <c r="AJ218">
        <f t="shared" si="3"/>
        <v>0</v>
      </c>
    </row>
    <row r="219" spans="36:36" x14ac:dyDescent="0.35">
      <c r="AJ219">
        <f t="shared" si="3"/>
        <v>0</v>
      </c>
    </row>
    <row r="220" spans="36:36" x14ac:dyDescent="0.35">
      <c r="AJ220">
        <f t="shared" si="3"/>
        <v>0</v>
      </c>
    </row>
    <row r="221" spans="36:36" x14ac:dyDescent="0.35">
      <c r="AJ221">
        <f t="shared" si="3"/>
        <v>0</v>
      </c>
    </row>
    <row r="222" spans="36:36" x14ac:dyDescent="0.35">
      <c r="AJ222">
        <f t="shared" si="3"/>
        <v>0</v>
      </c>
    </row>
    <row r="223" spans="36:36" x14ac:dyDescent="0.35">
      <c r="AJ223">
        <f t="shared" si="3"/>
        <v>0</v>
      </c>
    </row>
    <row r="224" spans="36:36" x14ac:dyDescent="0.35">
      <c r="AJ224">
        <f t="shared" si="3"/>
        <v>0</v>
      </c>
    </row>
    <row r="225" spans="36:36" x14ac:dyDescent="0.35">
      <c r="AJ225">
        <f t="shared" si="3"/>
        <v>0</v>
      </c>
    </row>
    <row r="226" spans="36:36" x14ac:dyDescent="0.35">
      <c r="AJ226">
        <f t="shared" si="3"/>
        <v>0</v>
      </c>
    </row>
    <row r="227" spans="36:36" x14ac:dyDescent="0.35">
      <c r="AJ227">
        <f t="shared" si="3"/>
        <v>0</v>
      </c>
    </row>
    <row r="228" spans="36:36" x14ac:dyDescent="0.35">
      <c r="AJ228">
        <f t="shared" si="3"/>
        <v>0</v>
      </c>
    </row>
    <row r="229" spans="36:36" x14ac:dyDescent="0.35">
      <c r="AJ229">
        <f t="shared" ref="AJ229:AJ243" si="4">INDEX($A$3:$AI$20,1+INT((ROW(A227)-1)/COLUMNS($A$3:$AI$20)),MOD(ROW(A227)-1+COLUMNS($A$3:$AI$20),COLUMNS($A$3:$AI$20))+1)</f>
        <v>0</v>
      </c>
    </row>
    <row r="230" spans="36:36" x14ac:dyDescent="0.35">
      <c r="AJ230">
        <f t="shared" si="4"/>
        <v>0</v>
      </c>
    </row>
    <row r="231" spans="36:36" x14ac:dyDescent="0.35">
      <c r="AJ231">
        <f t="shared" si="4"/>
        <v>0</v>
      </c>
    </row>
    <row r="232" spans="36:36" x14ac:dyDescent="0.35">
      <c r="AJ232">
        <f t="shared" si="4"/>
        <v>0</v>
      </c>
    </row>
    <row r="233" spans="36:36" x14ac:dyDescent="0.35">
      <c r="AJ233">
        <f t="shared" si="4"/>
        <v>0</v>
      </c>
    </row>
    <row r="234" spans="36:36" x14ac:dyDescent="0.35">
      <c r="AJ234">
        <f t="shared" si="4"/>
        <v>0</v>
      </c>
    </row>
    <row r="235" spans="36:36" x14ac:dyDescent="0.35">
      <c r="AJ235">
        <f t="shared" si="4"/>
        <v>0</v>
      </c>
    </row>
    <row r="236" spans="36:36" x14ac:dyDescent="0.35">
      <c r="AJ236">
        <f t="shared" si="4"/>
        <v>0</v>
      </c>
    </row>
    <row r="237" spans="36:36" x14ac:dyDescent="0.35">
      <c r="AJ237">
        <f t="shared" si="4"/>
        <v>0</v>
      </c>
    </row>
    <row r="238" spans="36:36" x14ac:dyDescent="0.35">
      <c r="AJ238">
        <f t="shared" si="4"/>
        <v>0</v>
      </c>
    </row>
    <row r="239" spans="36:36" x14ac:dyDescent="0.35">
      <c r="AJ239">
        <f t="shared" si="4"/>
        <v>0</v>
      </c>
    </row>
    <row r="240" spans="36:36" x14ac:dyDescent="0.35">
      <c r="AJ240">
        <f t="shared" si="4"/>
        <v>0</v>
      </c>
    </row>
    <row r="241" spans="36:36" x14ac:dyDescent="0.35">
      <c r="AJ241">
        <f t="shared" si="4"/>
        <v>0</v>
      </c>
    </row>
    <row r="242" spans="36:36" x14ac:dyDescent="0.35">
      <c r="AJ242">
        <f t="shared" si="4"/>
        <v>0</v>
      </c>
    </row>
    <row r="243" spans="36:36" x14ac:dyDescent="0.35">
      <c r="AJ243">
        <f t="shared" si="4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77BAE-8908-4571-A9A7-90C174EDBBC9}">
  <sheetPr codeName="Sheet7"/>
  <dimension ref="A1:C123"/>
  <sheetViews>
    <sheetView tabSelected="1" workbookViewId="0">
      <pane xSplit="1" ySplit="2" topLeftCell="B9" activePane="bottomRight" state="frozen"/>
      <selection activeCell="I27" sqref="I27"/>
      <selection pane="topRight" activeCell="I27" sqref="I27"/>
      <selection pane="bottomLeft" activeCell="I27" sqref="I27"/>
      <selection pane="bottomRight" activeCell="C2" sqref="C2"/>
    </sheetView>
  </sheetViews>
  <sheetFormatPr defaultRowHeight="14.5" x14ac:dyDescent="0.35"/>
  <cols>
    <col min="1" max="1" width="33.36328125" bestFit="1" customWidth="1"/>
    <col min="2" max="2" width="31.6328125" bestFit="1" customWidth="1"/>
    <col min="3" max="3" width="26.1796875" bestFit="1" customWidth="1"/>
    <col min="5" max="5" width="23.7265625" bestFit="1" customWidth="1"/>
    <col min="6" max="6" width="15.6328125" bestFit="1" customWidth="1"/>
  </cols>
  <sheetData>
    <row r="1" spans="1:3" x14ac:dyDescent="0.35">
      <c r="A1" s="7" t="s">
        <v>205</v>
      </c>
      <c r="B1" s="7" t="s">
        <v>204</v>
      </c>
      <c r="C1" s="7" t="s">
        <v>209</v>
      </c>
    </row>
    <row r="2" spans="1:3" x14ac:dyDescent="0.35">
      <c r="A2" s="7" t="s">
        <v>199</v>
      </c>
      <c r="B2" s="7" t="s">
        <v>200</v>
      </c>
      <c r="C2" s="7" t="s">
        <v>198</v>
      </c>
    </row>
    <row r="3" spans="1:3" x14ac:dyDescent="0.35">
      <c r="A3" t="s">
        <v>43</v>
      </c>
      <c r="B3" t="s">
        <v>57</v>
      </c>
      <c r="C3" t="s">
        <v>57</v>
      </c>
    </row>
    <row r="4" spans="1:3" x14ac:dyDescent="0.35">
      <c r="A4" t="s">
        <v>43</v>
      </c>
      <c r="B4" t="s">
        <v>57</v>
      </c>
      <c r="C4">
        <v>21</v>
      </c>
    </row>
    <row r="5" spans="1:3" x14ac:dyDescent="0.35">
      <c r="A5" t="s">
        <v>43</v>
      </c>
      <c r="B5" t="s">
        <v>57</v>
      </c>
      <c r="C5">
        <v>17</v>
      </c>
    </row>
    <row r="6" spans="1:3" x14ac:dyDescent="0.35">
      <c r="A6" t="s">
        <v>43</v>
      </c>
      <c r="B6" t="s">
        <v>57</v>
      </c>
      <c r="C6">
        <v>14</v>
      </c>
    </row>
    <row r="7" spans="1:3" x14ac:dyDescent="0.35">
      <c r="A7" t="s">
        <v>43</v>
      </c>
      <c r="B7" t="s">
        <v>57</v>
      </c>
      <c r="C7">
        <v>19</v>
      </c>
    </row>
    <row r="8" spans="1:3" x14ac:dyDescent="0.35">
      <c r="A8" t="s">
        <v>43</v>
      </c>
      <c r="B8" t="s">
        <v>57</v>
      </c>
      <c r="C8">
        <v>20</v>
      </c>
    </row>
    <row r="9" spans="1:3" x14ac:dyDescent="0.35">
      <c r="A9" t="s">
        <v>43</v>
      </c>
      <c r="B9" t="s">
        <v>57</v>
      </c>
      <c r="C9">
        <v>18</v>
      </c>
    </row>
    <row r="10" spans="1:3" x14ac:dyDescent="0.35">
      <c r="A10" t="s">
        <v>43</v>
      </c>
      <c r="B10" t="s">
        <v>57</v>
      </c>
      <c r="C10">
        <v>21</v>
      </c>
    </row>
    <row r="11" spans="1:3" x14ac:dyDescent="0.35">
      <c r="A11" t="s">
        <v>43</v>
      </c>
      <c r="B11" t="s">
        <v>57</v>
      </c>
      <c r="C11">
        <v>18</v>
      </c>
    </row>
    <row r="12" spans="1:3" x14ac:dyDescent="0.35">
      <c r="A12" t="s">
        <v>43</v>
      </c>
      <c r="B12" t="s">
        <v>57</v>
      </c>
      <c r="C12">
        <v>22</v>
      </c>
    </row>
    <row r="13" spans="1:3" x14ac:dyDescent="0.35">
      <c r="A13" t="s">
        <v>43</v>
      </c>
      <c r="B13" t="s">
        <v>57</v>
      </c>
      <c r="C13">
        <v>16</v>
      </c>
    </row>
    <row r="14" spans="1:3" x14ac:dyDescent="0.35">
      <c r="A14" t="s">
        <v>43</v>
      </c>
      <c r="B14" t="s">
        <v>57</v>
      </c>
      <c r="C14">
        <v>21</v>
      </c>
    </row>
    <row r="15" spans="1:3" x14ac:dyDescent="0.35">
      <c r="A15" t="s">
        <v>43</v>
      </c>
      <c r="B15" t="s">
        <v>57</v>
      </c>
      <c r="C15">
        <v>15</v>
      </c>
    </row>
    <row r="16" spans="1:3" x14ac:dyDescent="0.35">
      <c r="A16" t="s">
        <v>43</v>
      </c>
      <c r="B16" t="s">
        <v>57</v>
      </c>
      <c r="C16">
        <v>14</v>
      </c>
    </row>
    <row r="17" spans="1:3" x14ac:dyDescent="0.35">
      <c r="A17" t="s">
        <v>43</v>
      </c>
      <c r="B17" t="s">
        <v>57</v>
      </c>
      <c r="C17">
        <v>17</v>
      </c>
    </row>
    <row r="18" spans="1:3" x14ac:dyDescent="0.35">
      <c r="A18" t="s">
        <v>43</v>
      </c>
      <c r="B18" t="s">
        <v>57</v>
      </c>
      <c r="C18">
        <v>14</v>
      </c>
    </row>
    <row r="19" spans="1:3" x14ac:dyDescent="0.35">
      <c r="A19" t="s">
        <v>43</v>
      </c>
      <c r="B19" t="s">
        <v>57</v>
      </c>
      <c r="C19">
        <v>18</v>
      </c>
    </row>
    <row r="20" spans="1:3" x14ac:dyDescent="0.35">
      <c r="A20" t="s">
        <v>43</v>
      </c>
      <c r="B20" t="s">
        <v>57</v>
      </c>
      <c r="C20">
        <v>17</v>
      </c>
    </row>
    <row r="21" spans="1:3" x14ac:dyDescent="0.35">
      <c r="A21" t="s">
        <v>43</v>
      </c>
      <c r="B21" t="s">
        <v>57</v>
      </c>
      <c r="C21">
        <v>15</v>
      </c>
    </row>
    <row r="22" spans="1:3" x14ac:dyDescent="0.35">
      <c r="A22" t="s">
        <v>43</v>
      </c>
      <c r="B22" t="s">
        <v>57</v>
      </c>
      <c r="C22">
        <v>23</v>
      </c>
    </row>
    <row r="23" spans="1:3" x14ac:dyDescent="0.35">
      <c r="A23" t="s">
        <v>43</v>
      </c>
      <c r="B23" t="s">
        <v>57</v>
      </c>
      <c r="C23">
        <v>20</v>
      </c>
    </row>
    <row r="24" spans="1:3" x14ac:dyDescent="0.35">
      <c r="A24" t="s">
        <v>43</v>
      </c>
      <c r="B24" t="s">
        <v>57</v>
      </c>
      <c r="C24">
        <v>13</v>
      </c>
    </row>
    <row r="25" spans="1:3" x14ac:dyDescent="0.35">
      <c r="A25" t="s">
        <v>43</v>
      </c>
      <c r="B25" t="s">
        <v>57</v>
      </c>
      <c r="C25">
        <v>15</v>
      </c>
    </row>
    <row r="26" spans="1:3" x14ac:dyDescent="0.35">
      <c r="A26" t="s">
        <v>43</v>
      </c>
      <c r="B26" t="s">
        <v>57</v>
      </c>
      <c r="C26">
        <v>11</v>
      </c>
    </row>
    <row r="27" spans="1:3" x14ac:dyDescent="0.35">
      <c r="A27" t="s">
        <v>43</v>
      </c>
      <c r="B27" t="s">
        <v>57</v>
      </c>
      <c r="C27">
        <v>12</v>
      </c>
    </row>
    <row r="28" spans="1:3" x14ac:dyDescent="0.35">
      <c r="A28" t="s">
        <v>43</v>
      </c>
      <c r="B28" t="s">
        <v>57</v>
      </c>
      <c r="C28">
        <v>10</v>
      </c>
    </row>
    <row r="29" spans="1:3" x14ac:dyDescent="0.35">
      <c r="A29" t="s">
        <v>43</v>
      </c>
      <c r="B29" t="s">
        <v>57</v>
      </c>
      <c r="C29">
        <v>9</v>
      </c>
    </row>
    <row r="30" spans="1:3" x14ac:dyDescent="0.35">
      <c r="A30" t="s">
        <v>43</v>
      </c>
      <c r="B30" t="s">
        <v>57</v>
      </c>
      <c r="C30">
        <v>13</v>
      </c>
    </row>
    <row r="31" spans="1:3" x14ac:dyDescent="0.35">
      <c r="A31" t="s">
        <v>43</v>
      </c>
      <c r="B31" t="s">
        <v>57</v>
      </c>
      <c r="C31">
        <v>11</v>
      </c>
    </row>
    <row r="32" spans="1:3" x14ac:dyDescent="0.35">
      <c r="A32" t="s">
        <v>43</v>
      </c>
      <c r="B32" t="s">
        <v>57</v>
      </c>
      <c r="C32">
        <v>11</v>
      </c>
    </row>
    <row r="33" spans="1:3" x14ac:dyDescent="0.35">
      <c r="A33" t="s">
        <v>43</v>
      </c>
      <c r="B33" t="s">
        <v>57</v>
      </c>
      <c r="C33">
        <v>9</v>
      </c>
    </row>
    <row r="34" spans="1:3" x14ac:dyDescent="0.35">
      <c r="A34" t="s">
        <v>40</v>
      </c>
      <c r="B34" t="s">
        <v>35</v>
      </c>
      <c r="C34">
        <v>16</v>
      </c>
    </row>
    <row r="35" spans="1:3" x14ac:dyDescent="0.35">
      <c r="A35" t="s">
        <v>40</v>
      </c>
      <c r="B35" t="s">
        <v>35</v>
      </c>
      <c r="C35">
        <v>18</v>
      </c>
    </row>
    <row r="36" spans="1:3" x14ac:dyDescent="0.35">
      <c r="A36" t="s">
        <v>40</v>
      </c>
      <c r="B36" t="s">
        <v>35</v>
      </c>
      <c r="C36">
        <v>22</v>
      </c>
    </row>
    <row r="37" spans="1:3" x14ac:dyDescent="0.35">
      <c r="A37" t="s">
        <v>40</v>
      </c>
      <c r="B37" t="s">
        <v>35</v>
      </c>
      <c r="C37">
        <v>20</v>
      </c>
    </row>
    <row r="38" spans="1:3" x14ac:dyDescent="0.35">
      <c r="A38" t="s">
        <v>40</v>
      </c>
      <c r="B38" t="s">
        <v>35</v>
      </c>
      <c r="C38">
        <v>18</v>
      </c>
    </row>
    <row r="39" spans="1:3" x14ac:dyDescent="0.35">
      <c r="A39" t="s">
        <v>40</v>
      </c>
      <c r="B39" t="s">
        <v>35</v>
      </c>
      <c r="C39">
        <v>19</v>
      </c>
    </row>
    <row r="40" spans="1:3" x14ac:dyDescent="0.35">
      <c r="A40" t="s">
        <v>40</v>
      </c>
      <c r="B40" t="s">
        <v>35</v>
      </c>
      <c r="C40">
        <v>23</v>
      </c>
    </row>
    <row r="41" spans="1:3" x14ac:dyDescent="0.35">
      <c r="A41" t="s">
        <v>40</v>
      </c>
      <c r="B41" t="s">
        <v>35</v>
      </c>
      <c r="C41">
        <v>23</v>
      </c>
    </row>
    <row r="42" spans="1:3" x14ac:dyDescent="0.35">
      <c r="A42" t="s">
        <v>40</v>
      </c>
      <c r="B42" t="s">
        <v>35</v>
      </c>
      <c r="C42">
        <v>17</v>
      </c>
    </row>
    <row r="43" spans="1:3" x14ac:dyDescent="0.35">
      <c r="A43" t="s">
        <v>40</v>
      </c>
      <c r="B43" t="s">
        <v>35</v>
      </c>
      <c r="C43">
        <v>19</v>
      </c>
    </row>
    <row r="44" spans="1:3" x14ac:dyDescent="0.35">
      <c r="A44" t="s">
        <v>40</v>
      </c>
      <c r="B44" t="s">
        <v>35</v>
      </c>
      <c r="C44">
        <v>22</v>
      </c>
    </row>
    <row r="45" spans="1:3" x14ac:dyDescent="0.35">
      <c r="A45" t="s">
        <v>40</v>
      </c>
      <c r="B45" t="s">
        <v>35</v>
      </c>
      <c r="C45">
        <v>21</v>
      </c>
    </row>
    <row r="46" spans="1:3" x14ac:dyDescent="0.35">
      <c r="A46" t="s">
        <v>40</v>
      </c>
      <c r="B46" t="s">
        <v>35</v>
      </c>
      <c r="C46">
        <v>19</v>
      </c>
    </row>
    <row r="47" spans="1:3" x14ac:dyDescent="0.35">
      <c r="A47" t="s">
        <v>40</v>
      </c>
      <c r="B47" t="s">
        <v>35</v>
      </c>
      <c r="C47">
        <v>18</v>
      </c>
    </row>
    <row r="48" spans="1:3" x14ac:dyDescent="0.35">
      <c r="A48" t="s">
        <v>40</v>
      </c>
      <c r="B48" t="s">
        <v>35</v>
      </c>
      <c r="C48">
        <v>21</v>
      </c>
    </row>
    <row r="49" spans="1:3" x14ac:dyDescent="0.35">
      <c r="A49" t="s">
        <v>40</v>
      </c>
      <c r="B49" t="s">
        <v>35</v>
      </c>
      <c r="C49">
        <v>21</v>
      </c>
    </row>
    <row r="50" spans="1:3" x14ac:dyDescent="0.35">
      <c r="A50" t="s">
        <v>40</v>
      </c>
      <c r="B50" t="s">
        <v>35</v>
      </c>
      <c r="C50">
        <v>16</v>
      </c>
    </row>
    <row r="51" spans="1:3" x14ac:dyDescent="0.35">
      <c r="A51" t="s">
        <v>40</v>
      </c>
      <c r="B51" t="s">
        <v>35</v>
      </c>
      <c r="C51">
        <v>19</v>
      </c>
    </row>
    <row r="52" spans="1:3" x14ac:dyDescent="0.35">
      <c r="A52" t="s">
        <v>40</v>
      </c>
      <c r="B52" t="s">
        <v>35</v>
      </c>
      <c r="C52">
        <v>24</v>
      </c>
    </row>
    <row r="53" spans="1:3" x14ac:dyDescent="0.35">
      <c r="A53" t="s">
        <v>40</v>
      </c>
      <c r="B53" t="s">
        <v>35</v>
      </c>
      <c r="C53">
        <v>21</v>
      </c>
    </row>
    <row r="54" spans="1:3" x14ac:dyDescent="0.35">
      <c r="A54" t="s">
        <v>40</v>
      </c>
      <c r="B54" t="s">
        <v>35</v>
      </c>
      <c r="C54">
        <v>19</v>
      </c>
    </row>
    <row r="55" spans="1:3" x14ac:dyDescent="0.35">
      <c r="A55" t="s">
        <v>40</v>
      </c>
      <c r="B55" t="s">
        <v>35</v>
      </c>
      <c r="C55">
        <v>17</v>
      </c>
    </row>
    <row r="56" spans="1:3" x14ac:dyDescent="0.35">
      <c r="A56" t="s">
        <v>40</v>
      </c>
      <c r="B56" t="s">
        <v>35</v>
      </c>
      <c r="C56">
        <v>17</v>
      </c>
    </row>
    <row r="57" spans="1:3" x14ac:dyDescent="0.35">
      <c r="A57" t="s">
        <v>40</v>
      </c>
      <c r="B57" t="s">
        <v>35</v>
      </c>
      <c r="C57">
        <v>20</v>
      </c>
    </row>
    <row r="58" spans="1:3" x14ac:dyDescent="0.35">
      <c r="A58" t="s">
        <v>40</v>
      </c>
      <c r="B58" t="s">
        <v>35</v>
      </c>
      <c r="C58">
        <v>18</v>
      </c>
    </row>
    <row r="59" spans="1:3" x14ac:dyDescent="0.35">
      <c r="A59" t="s">
        <v>40</v>
      </c>
      <c r="B59" t="s">
        <v>35</v>
      </c>
      <c r="C59">
        <v>20</v>
      </c>
    </row>
    <row r="60" spans="1:3" x14ac:dyDescent="0.35">
      <c r="A60" t="s">
        <v>40</v>
      </c>
      <c r="B60" t="s">
        <v>35</v>
      </c>
      <c r="C60">
        <v>21</v>
      </c>
    </row>
    <row r="61" spans="1:3" x14ac:dyDescent="0.35">
      <c r="A61" t="s">
        <v>40</v>
      </c>
      <c r="B61" t="s">
        <v>35</v>
      </c>
      <c r="C61">
        <v>20</v>
      </c>
    </row>
    <row r="62" spans="1:3" x14ac:dyDescent="0.35">
      <c r="A62" t="s">
        <v>40</v>
      </c>
      <c r="B62" t="s">
        <v>35</v>
      </c>
      <c r="C62">
        <v>15</v>
      </c>
    </row>
    <row r="63" spans="1:3" x14ac:dyDescent="0.35">
      <c r="A63" t="s">
        <v>40</v>
      </c>
      <c r="B63" t="s">
        <v>35</v>
      </c>
      <c r="C63">
        <v>30</v>
      </c>
    </row>
    <row r="64" spans="1:3" x14ac:dyDescent="0.35">
      <c r="A64" t="s">
        <v>58</v>
      </c>
      <c r="B64" t="s">
        <v>286</v>
      </c>
      <c r="C64">
        <v>16</v>
      </c>
    </row>
    <row r="65" spans="1:3" x14ac:dyDescent="0.35">
      <c r="A65" t="s">
        <v>58</v>
      </c>
      <c r="B65" t="s">
        <v>286</v>
      </c>
      <c r="C65">
        <v>10</v>
      </c>
    </row>
    <row r="66" spans="1:3" x14ac:dyDescent="0.35">
      <c r="A66" t="s">
        <v>58</v>
      </c>
      <c r="B66" t="s">
        <v>286</v>
      </c>
      <c r="C66">
        <v>9</v>
      </c>
    </row>
    <row r="67" spans="1:3" x14ac:dyDescent="0.35">
      <c r="A67" t="s">
        <v>58</v>
      </c>
      <c r="B67" t="s">
        <v>286</v>
      </c>
      <c r="C67">
        <v>17</v>
      </c>
    </row>
    <row r="68" spans="1:3" x14ac:dyDescent="0.35">
      <c r="A68" t="s">
        <v>58</v>
      </c>
      <c r="B68" t="s">
        <v>286</v>
      </c>
      <c r="C68">
        <v>11</v>
      </c>
    </row>
    <row r="69" spans="1:3" x14ac:dyDescent="0.35">
      <c r="A69" t="s">
        <v>58</v>
      </c>
      <c r="B69" t="s">
        <v>286</v>
      </c>
      <c r="C69">
        <v>9</v>
      </c>
    </row>
    <row r="70" spans="1:3" x14ac:dyDescent="0.35">
      <c r="A70" t="s">
        <v>58</v>
      </c>
      <c r="B70" t="s">
        <v>286</v>
      </c>
      <c r="C70">
        <v>10</v>
      </c>
    </row>
    <row r="71" spans="1:3" x14ac:dyDescent="0.35">
      <c r="A71" t="s">
        <v>58</v>
      </c>
      <c r="B71" t="s">
        <v>286</v>
      </c>
      <c r="C71">
        <v>12</v>
      </c>
    </row>
    <row r="72" spans="1:3" x14ac:dyDescent="0.35">
      <c r="A72" t="s">
        <v>58</v>
      </c>
      <c r="B72" t="s">
        <v>286</v>
      </c>
      <c r="C72">
        <v>14</v>
      </c>
    </row>
    <row r="73" spans="1:3" x14ac:dyDescent="0.35">
      <c r="A73" t="s">
        <v>58</v>
      </c>
      <c r="B73" t="s">
        <v>286</v>
      </c>
      <c r="C73">
        <v>13</v>
      </c>
    </row>
    <row r="74" spans="1:3" x14ac:dyDescent="0.35">
      <c r="A74" t="s">
        <v>58</v>
      </c>
      <c r="B74" t="s">
        <v>286</v>
      </c>
      <c r="C74">
        <v>10</v>
      </c>
    </row>
    <row r="75" spans="1:3" x14ac:dyDescent="0.35">
      <c r="A75" t="s">
        <v>58</v>
      </c>
      <c r="B75" t="s">
        <v>286</v>
      </c>
      <c r="C75">
        <v>7</v>
      </c>
    </row>
    <row r="76" spans="1:3" x14ac:dyDescent="0.35">
      <c r="A76" t="s">
        <v>58</v>
      </c>
      <c r="B76" t="s">
        <v>286</v>
      </c>
      <c r="C76">
        <v>10</v>
      </c>
    </row>
    <row r="77" spans="1:3" x14ac:dyDescent="0.35">
      <c r="A77" t="s">
        <v>58</v>
      </c>
      <c r="B77" t="s">
        <v>286</v>
      </c>
      <c r="C77">
        <v>14</v>
      </c>
    </row>
    <row r="78" spans="1:3" x14ac:dyDescent="0.35">
      <c r="A78" t="s">
        <v>58</v>
      </c>
      <c r="B78" t="s">
        <v>286</v>
      </c>
      <c r="C78">
        <v>14</v>
      </c>
    </row>
    <row r="79" spans="1:3" x14ac:dyDescent="0.35">
      <c r="A79" t="s">
        <v>58</v>
      </c>
      <c r="B79" t="s">
        <v>286</v>
      </c>
      <c r="C79">
        <v>14</v>
      </c>
    </row>
    <row r="80" spans="1:3" x14ac:dyDescent="0.35">
      <c r="A80" t="s">
        <v>58</v>
      </c>
      <c r="B80" t="s">
        <v>286</v>
      </c>
      <c r="C80">
        <v>16</v>
      </c>
    </row>
    <row r="81" spans="1:3" x14ac:dyDescent="0.35">
      <c r="A81" t="s">
        <v>58</v>
      </c>
      <c r="B81" t="s">
        <v>286</v>
      </c>
      <c r="C81">
        <v>14</v>
      </c>
    </row>
    <row r="82" spans="1:3" x14ac:dyDescent="0.35">
      <c r="A82" t="s">
        <v>58</v>
      </c>
      <c r="B82" t="s">
        <v>286</v>
      </c>
      <c r="C82">
        <v>18</v>
      </c>
    </row>
    <row r="83" spans="1:3" x14ac:dyDescent="0.35">
      <c r="A83" t="s">
        <v>58</v>
      </c>
      <c r="B83" t="s">
        <v>286</v>
      </c>
      <c r="C83">
        <v>13</v>
      </c>
    </row>
    <row r="84" spans="1:3" x14ac:dyDescent="0.35">
      <c r="A84" t="s">
        <v>58</v>
      </c>
      <c r="B84" t="s">
        <v>286</v>
      </c>
      <c r="C84">
        <v>9</v>
      </c>
    </row>
    <row r="85" spans="1:3" x14ac:dyDescent="0.35">
      <c r="A85" t="s">
        <v>58</v>
      </c>
      <c r="B85" t="s">
        <v>286</v>
      </c>
      <c r="C85">
        <v>9</v>
      </c>
    </row>
    <row r="86" spans="1:3" x14ac:dyDescent="0.35">
      <c r="A86" t="s">
        <v>58</v>
      </c>
      <c r="B86" t="s">
        <v>286</v>
      </c>
      <c r="C86">
        <v>15</v>
      </c>
    </row>
    <row r="87" spans="1:3" x14ac:dyDescent="0.35">
      <c r="A87" t="s">
        <v>58</v>
      </c>
      <c r="B87" t="s">
        <v>286</v>
      </c>
      <c r="C87">
        <v>12</v>
      </c>
    </row>
    <row r="88" spans="1:3" x14ac:dyDescent="0.35">
      <c r="A88" t="s">
        <v>58</v>
      </c>
      <c r="B88" t="s">
        <v>286</v>
      </c>
      <c r="C88">
        <v>13</v>
      </c>
    </row>
    <row r="89" spans="1:3" x14ac:dyDescent="0.35">
      <c r="A89" t="s">
        <v>58</v>
      </c>
      <c r="B89" t="s">
        <v>286</v>
      </c>
      <c r="C89">
        <v>10</v>
      </c>
    </row>
    <row r="90" spans="1:3" x14ac:dyDescent="0.35">
      <c r="A90" t="s">
        <v>58</v>
      </c>
      <c r="B90" t="s">
        <v>286</v>
      </c>
      <c r="C90">
        <v>12</v>
      </c>
    </row>
    <row r="91" spans="1:3" x14ac:dyDescent="0.35">
      <c r="A91" t="s">
        <v>58</v>
      </c>
      <c r="B91" t="s">
        <v>286</v>
      </c>
      <c r="C91">
        <v>10</v>
      </c>
    </row>
    <row r="92" spans="1:3" x14ac:dyDescent="0.35">
      <c r="A92" t="s">
        <v>58</v>
      </c>
      <c r="B92" t="s">
        <v>286</v>
      </c>
      <c r="C92">
        <v>13</v>
      </c>
    </row>
    <row r="93" spans="1:3" x14ac:dyDescent="0.35">
      <c r="A93" t="s">
        <v>58</v>
      </c>
      <c r="B93" t="s">
        <v>286</v>
      </c>
      <c r="C93">
        <v>10</v>
      </c>
    </row>
    <row r="94" spans="1:3" x14ac:dyDescent="0.35">
      <c r="A94" t="s">
        <v>6</v>
      </c>
      <c r="B94" t="s">
        <v>37</v>
      </c>
      <c r="C94">
        <v>11</v>
      </c>
    </row>
    <row r="95" spans="1:3" x14ac:dyDescent="0.35">
      <c r="A95" t="s">
        <v>6</v>
      </c>
      <c r="B95" t="s">
        <v>37</v>
      </c>
      <c r="C95">
        <v>11</v>
      </c>
    </row>
    <row r="96" spans="1:3" x14ac:dyDescent="0.35">
      <c r="A96" t="s">
        <v>6</v>
      </c>
      <c r="B96" t="s">
        <v>37</v>
      </c>
      <c r="C96">
        <v>12</v>
      </c>
    </row>
    <row r="97" spans="1:3" x14ac:dyDescent="0.35">
      <c r="A97" t="s">
        <v>6</v>
      </c>
      <c r="B97" t="s">
        <v>37</v>
      </c>
      <c r="C97">
        <v>12</v>
      </c>
    </row>
    <row r="98" spans="1:3" x14ac:dyDescent="0.35">
      <c r="A98" t="s">
        <v>6</v>
      </c>
      <c r="B98" t="s">
        <v>37</v>
      </c>
      <c r="C98">
        <v>11</v>
      </c>
    </row>
    <row r="99" spans="1:3" x14ac:dyDescent="0.35">
      <c r="A99" t="s">
        <v>6</v>
      </c>
      <c r="B99" t="s">
        <v>37</v>
      </c>
      <c r="C99">
        <v>14</v>
      </c>
    </row>
    <row r="100" spans="1:3" x14ac:dyDescent="0.35">
      <c r="A100" t="s">
        <v>6</v>
      </c>
      <c r="B100" t="s">
        <v>37</v>
      </c>
      <c r="C100">
        <v>13</v>
      </c>
    </row>
    <row r="101" spans="1:3" x14ac:dyDescent="0.35">
      <c r="A101" t="s">
        <v>6</v>
      </c>
      <c r="B101" t="s">
        <v>37</v>
      </c>
      <c r="C101">
        <v>15</v>
      </c>
    </row>
    <row r="102" spans="1:3" x14ac:dyDescent="0.35">
      <c r="A102" t="s">
        <v>6</v>
      </c>
      <c r="B102" t="s">
        <v>37</v>
      </c>
      <c r="C102">
        <v>13</v>
      </c>
    </row>
    <row r="103" spans="1:3" x14ac:dyDescent="0.35">
      <c r="A103" t="s">
        <v>6</v>
      </c>
      <c r="B103" t="s">
        <v>37</v>
      </c>
      <c r="C103">
        <v>11</v>
      </c>
    </row>
    <row r="104" spans="1:3" x14ac:dyDescent="0.35">
      <c r="A104" t="s">
        <v>6</v>
      </c>
      <c r="B104" t="s">
        <v>37</v>
      </c>
      <c r="C104">
        <v>11</v>
      </c>
    </row>
    <row r="105" spans="1:3" x14ac:dyDescent="0.35">
      <c r="A105" t="s">
        <v>6</v>
      </c>
      <c r="B105" t="s">
        <v>37</v>
      </c>
      <c r="C105">
        <v>12</v>
      </c>
    </row>
    <row r="106" spans="1:3" x14ac:dyDescent="0.35">
      <c r="A106" t="s">
        <v>6</v>
      </c>
      <c r="B106" t="s">
        <v>37</v>
      </c>
      <c r="C106">
        <v>10</v>
      </c>
    </row>
    <row r="107" spans="1:3" x14ac:dyDescent="0.35">
      <c r="A107" t="s">
        <v>6</v>
      </c>
      <c r="B107" t="s">
        <v>37</v>
      </c>
      <c r="C107">
        <v>12</v>
      </c>
    </row>
    <row r="108" spans="1:3" x14ac:dyDescent="0.35">
      <c r="A108" t="s">
        <v>6</v>
      </c>
      <c r="B108" t="s">
        <v>37</v>
      </c>
      <c r="C108">
        <v>12</v>
      </c>
    </row>
    <row r="109" spans="1:3" x14ac:dyDescent="0.35">
      <c r="A109" t="s">
        <v>6</v>
      </c>
      <c r="B109" t="s">
        <v>37</v>
      </c>
      <c r="C109">
        <v>13</v>
      </c>
    </row>
    <row r="110" spans="1:3" x14ac:dyDescent="0.35">
      <c r="A110" t="s">
        <v>6</v>
      </c>
      <c r="B110" t="s">
        <v>37</v>
      </c>
      <c r="C110">
        <v>10</v>
      </c>
    </row>
    <row r="111" spans="1:3" x14ac:dyDescent="0.35">
      <c r="A111" t="s">
        <v>6</v>
      </c>
      <c r="B111" t="s">
        <v>37</v>
      </c>
      <c r="C111">
        <v>9</v>
      </c>
    </row>
    <row r="112" spans="1:3" x14ac:dyDescent="0.35">
      <c r="A112" t="s">
        <v>6</v>
      </c>
      <c r="B112" t="s">
        <v>37</v>
      </c>
      <c r="C112">
        <v>8</v>
      </c>
    </row>
    <row r="113" spans="1:3" x14ac:dyDescent="0.35">
      <c r="A113" t="s">
        <v>6</v>
      </c>
      <c r="B113" t="s">
        <v>37</v>
      </c>
      <c r="C113">
        <v>8</v>
      </c>
    </row>
    <row r="114" spans="1:3" x14ac:dyDescent="0.35">
      <c r="A114" t="s">
        <v>6</v>
      </c>
      <c r="B114" t="s">
        <v>37</v>
      </c>
      <c r="C114">
        <v>8</v>
      </c>
    </row>
    <row r="115" spans="1:3" x14ac:dyDescent="0.35">
      <c r="A115" t="s">
        <v>6</v>
      </c>
      <c r="B115" t="s">
        <v>37</v>
      </c>
      <c r="C115">
        <v>7</v>
      </c>
    </row>
    <row r="116" spans="1:3" x14ac:dyDescent="0.35">
      <c r="A116" t="s">
        <v>6</v>
      </c>
      <c r="B116" t="s">
        <v>37</v>
      </c>
      <c r="C116">
        <v>11</v>
      </c>
    </row>
    <row r="117" spans="1:3" x14ac:dyDescent="0.35">
      <c r="A117" t="s">
        <v>6</v>
      </c>
      <c r="B117" t="s">
        <v>37</v>
      </c>
      <c r="C117">
        <v>8</v>
      </c>
    </row>
    <row r="118" spans="1:3" x14ac:dyDescent="0.35">
      <c r="A118" t="s">
        <v>6</v>
      </c>
      <c r="B118" t="s">
        <v>37</v>
      </c>
      <c r="C118">
        <v>8</v>
      </c>
    </row>
    <row r="119" spans="1:3" x14ac:dyDescent="0.35">
      <c r="A119" t="s">
        <v>6</v>
      </c>
      <c r="B119" t="s">
        <v>37</v>
      </c>
      <c r="C119">
        <v>4</v>
      </c>
    </row>
    <row r="120" spans="1:3" x14ac:dyDescent="0.35">
      <c r="A120" t="s">
        <v>6</v>
      </c>
      <c r="B120" t="s">
        <v>37</v>
      </c>
      <c r="C120">
        <v>8</v>
      </c>
    </row>
    <row r="121" spans="1:3" x14ac:dyDescent="0.35">
      <c r="A121" t="s">
        <v>6</v>
      </c>
      <c r="B121" t="s">
        <v>37</v>
      </c>
      <c r="C121">
        <v>6</v>
      </c>
    </row>
    <row r="122" spans="1:3" x14ac:dyDescent="0.35">
      <c r="A122" t="s">
        <v>6</v>
      </c>
      <c r="B122" t="s">
        <v>37</v>
      </c>
      <c r="C122">
        <v>8</v>
      </c>
    </row>
    <row r="123" spans="1:3" x14ac:dyDescent="0.35">
      <c r="A123" t="s">
        <v>6</v>
      </c>
      <c r="B123" t="s">
        <v>37</v>
      </c>
      <c r="C123">
        <v>8</v>
      </c>
    </row>
  </sheetData>
  <autoFilter ref="A3:C123" xr:uid="{743321F7-C0A2-4903-BE74-EDE00B7B208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meta.dat</vt:lpstr>
      <vt:lpstr>trips.des</vt:lpstr>
      <vt:lpstr>weight</vt:lpstr>
      <vt:lpstr>length</vt:lpstr>
      <vt:lpstr>Sheet2</vt:lpstr>
      <vt:lpstr>tidy1</vt:lpstr>
      <vt:lpstr>tidy2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2020-09-23T23:06:15Z</dcterms:modified>
</cp:coreProperties>
</file>